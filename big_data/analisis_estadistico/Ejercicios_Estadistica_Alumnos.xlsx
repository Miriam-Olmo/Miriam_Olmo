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M\Documents\big_data\analisis_estadistico\"/>
    </mc:Choice>
  </mc:AlternateContent>
  <xr:revisionPtr revIDLastSave="0" documentId="13_ncr:1_{39F5D7A0-7E79-4067-895D-775E0B8F0DA2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'1_Precios'!$B$4</definedName>
    <definedName name="_xlchart.v1.2" hidden="1">'1_Precios'!$B$5:$B$46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F9" i="5"/>
  <c r="F7" i="5"/>
  <c r="F8" i="5"/>
  <c r="F6" i="5"/>
  <c r="E9" i="5"/>
  <c r="E7" i="5"/>
  <c r="E8" i="5"/>
  <c r="E6" i="5"/>
  <c r="E3" i="5"/>
  <c r="E13" i="4"/>
  <c r="E14" i="4"/>
  <c r="E15" i="4"/>
  <c r="E16" i="4"/>
  <c r="E12" i="4"/>
  <c r="E7" i="4"/>
  <c r="E6" i="4"/>
  <c r="E5" i="4"/>
  <c r="F8" i="3"/>
  <c r="F7" i="3"/>
  <c r="F6" i="3"/>
  <c r="F5" i="3"/>
  <c r="E8" i="2"/>
  <c r="E7" i="2"/>
  <c r="E6" i="2"/>
  <c r="E5" i="2"/>
</calcChain>
</file>

<file path=xl/sharedStrings.xml><?xml version="1.0" encoding="utf-8"?>
<sst xmlns="http://schemas.openxmlformats.org/spreadsheetml/2006/main" count="583" uniqueCount="165">
  <si>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</si>
  <si>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</si>
  <si>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</si>
  <si>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</si>
  <si>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</si>
  <si>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</si>
  <si>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</si>
  <si>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</si>
  <si>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</si>
  <si>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</si>
  <si>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</si>
  <si>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</si>
  <si>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</si>
  <si>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</si>
  <si>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</si>
  <si>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</si>
  <si>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</si>
  <si>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</si>
  <si>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</si>
  <si>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</si>
  <si>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</si>
  <si>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</si>
  <si>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</si>
  <si>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</si>
  <si>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</si>
  <si>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</si>
  <si>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</si>
  <si>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</si>
  <si>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</si>
  <si>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</si>
  <si>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</si>
  <si>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</si>
  <si>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</si>
  <si>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</si>
  <si>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</si>
  <si>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</si>
  <si>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</si>
  <si>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</si>
  <si>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</si>
  <si>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</si>
  <si>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</si>
  <si>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</si>
  <si>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</si>
  <si>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</si>
  <si>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</si>
  <si>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</si>
  <si>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</si>
  <si>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</si>
  <si>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</si>
  <si>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</si>
  <si>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</si>
  <si>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</si>
  <si>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</si>
  <si>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</si>
  <si>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</si>
  <si>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</si>
  <si>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</si>
  <si>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</si>
  <si>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</si>
  <si>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</si>
  <si>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</si>
  <si>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</si>
  <si>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</si>
  <si>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</si>
  <si>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</si>
  <si>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</si>
  <si>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</si>
  <si>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</si>
  <si>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</si>
  <si>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</si>
  <si>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</si>
  <si>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</si>
  <si>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</si>
  <si>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</si>
  <si>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</si>
  <si>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</si>
  <si>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</si>
  <si>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</si>
  <si>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</si>
  <si>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</si>
  <si>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</si>
  <si>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</si>
  <si>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</si>
  <si>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</si>
  <si>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</si>
  <si>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</si>
  <si>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</si>
  <si>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</si>
  <si>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</si>
  <si>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</si>
  <si>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</si>
  <si>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</si>
  <si>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</si>
  <si>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</si>
  <si>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</si>
  <si>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</si>
  <si>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</si>
  <si>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</si>
  <si>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</si>
  <si>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</si>
  <si>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</si>
  <si>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</si>
  <si>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</si>
  <si>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</si>
  <si>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</si>
  <si>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</si>
  <si>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</si>
  <si>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</si>
  <si>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</si>
  <si>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</si>
  <si>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</si>
  <si>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</si>
  <si>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</si>
  <si>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</si>
  <si>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</si>
  <si>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</si>
  <si>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</si>
  <si>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</si>
  <si>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</si>
  <si>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</si>
  <si>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</si>
  <si>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</si>
  <si>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</si>
  <si>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</si>
  <si>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</si>
  <si>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</si>
  <si>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</si>
  <si>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</si>
  <si>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</si>
  <si>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</si>
  <si>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</si>
  <si>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</si>
  <si>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</si>
  <si>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</si>
  <si>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</si>
  <si>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</si>
  <si>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</si>
  <si>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</si>
  <si>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</si>
  <si>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</si>
  <si>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</si>
  <si>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</si>
  <si>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</si>
  <si>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</si>
  <si>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</si>
  <si>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</si>
  <si>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</si>
  <si>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</si>
  <si>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</si>
  <si>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</si>
  <si>
    <t>la tienda vende muchos productos entre 6 y 70 euros</t>
  </si>
  <si>
    <t xml:space="preserve">la desviacion tipica esta muy alta </t>
  </si>
  <si>
    <t>lo mejor para ver de forma realista en este caso es la mediana</t>
  </si>
  <si>
    <t>el precio media del ticket de nuestra tienda es 35</t>
  </si>
  <si>
    <t>lla media y mediana no son parecidas, esto implica muchos offliner o valores muy estremos</t>
  </si>
  <si>
    <t>precio mas repetido</t>
  </si>
  <si>
    <t>muy alta</t>
  </si>
  <si>
    <t>hay poca dispersion</t>
  </si>
  <si>
    <t>vendo muchos productos de bajo coste pero proporciona poco beneficio</t>
  </si>
  <si>
    <t>los productos intermedios sacamos mas beneficio aunque se vende menos con beneficio medio</t>
  </si>
  <si>
    <t>los dos productos mas caros uno deberia dejar de venderse por el margen de beneficio y el otro es mayor el beneficio y mas rentable aunque se venda menos unidades</t>
  </si>
  <si>
    <t>hay que centrar la venta en productos con precio entre 40 y 60</t>
  </si>
  <si>
    <t xml:space="preserve">los clientes tienen un grado de satisfaccion bastante alto </t>
  </si>
  <si>
    <t>las personas compran mas via web que por cualquiera de las otras dos formas de compra</t>
  </si>
  <si>
    <t>el canal menos interesante para venta es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</si>
</sst>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top"/>
    </xf>
    <xf numFmtId="10" fontId="0" fillId="4" borderId="1" xfId="0" applyNumberFormat="1" applyFill="1" applyBorder="1"/>
    <xf numFmtId="2" fontId="0" fillId="4" borderId="1" xfId="0" applyNumberForma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dispersion: coste vs beneficio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'2_Beneficios'!$C$4</c:f>
              <c:strCache>
                <c:ptCount val="1"/>
                <c:pt idx="0">
                  <c:v>Beneficio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'2_Beneficios'!$B$5:$B$46</c:f>
              <c:numCache>
                <c:formatCode>General</c:formatCode>
                <c:ptCount val="42"/>
                <c:pt idx="0">
                  <c:v>10</c:v>
                </c:pt>
                <c:pt idx="1">
                  <c:v>14</c:v>
                </c:pt>
                <c:pt idx="2">
                  <c:v>45</c:v>
                </c:pt>
                <c:pt idx="3">
                  <c:v>60</c:v>
                </c:pt>
                <c:pt idx="4">
                  <c:v>15</c:v>
                </c:pt>
                <c:pt idx="5">
                  <c:v>180</c:v>
                </c:pt>
                <c:pt idx="6">
                  <c:v>20</c:v>
                </c:pt>
                <c:pt idx="7">
                  <c:v>18</c:v>
                </c:pt>
                <c:pt idx="8">
                  <c:v>50</c:v>
                </c:pt>
                <c:pt idx="9">
                  <c:v>70</c:v>
                </c:pt>
                <c:pt idx="10">
                  <c:v>12</c:v>
                </c:pt>
                <c:pt idx="11">
                  <c:v>25</c:v>
                </c:pt>
                <c:pt idx="12">
                  <c:v>32</c:v>
                </c:pt>
                <c:pt idx="13">
                  <c:v>18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55</c:v>
                </c:pt>
                <c:pt idx="18">
                  <c:v>20</c:v>
                </c:pt>
                <c:pt idx="19">
                  <c:v>35</c:v>
                </c:pt>
                <c:pt idx="20">
                  <c:v>16</c:v>
                </c:pt>
                <c:pt idx="21">
                  <c:v>15</c:v>
                </c:pt>
                <c:pt idx="22">
                  <c:v>12</c:v>
                </c:pt>
                <c:pt idx="23">
                  <c:v>8</c:v>
                </c:pt>
                <c:pt idx="24">
                  <c:v>70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6</c:v>
                </c:pt>
                <c:pt idx="31">
                  <c:v>12</c:v>
                </c:pt>
                <c:pt idx="32">
                  <c:v>9</c:v>
                </c:pt>
                <c:pt idx="33">
                  <c:v>90</c:v>
                </c:pt>
                <c:pt idx="34">
                  <c:v>180</c:v>
                </c:pt>
                <c:pt idx="35">
                  <c:v>45</c:v>
                </c:pt>
                <c:pt idx="36">
                  <c:v>25</c:v>
                </c:pt>
                <c:pt idx="37">
                  <c:v>18</c:v>
                </c:pt>
                <c:pt idx="38">
                  <c:v>30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</c:numCache>
            </c:numRef>
          </c:xVal>
          <c:yVal>
            <c:numRef>
              <c:f>'2_Beneficios'!$C$5:$C$46</c:f>
              <c:numCache>
                <c:formatCode>General</c:formatCode>
                <c:ptCount val="42"/>
                <c:pt idx="0">
                  <c:v>15.5</c:v>
                </c:pt>
                <c:pt idx="1">
                  <c:v>22</c:v>
                </c:pt>
                <c:pt idx="2">
                  <c:v>40</c:v>
                </c:pt>
                <c:pt idx="3">
                  <c:v>50</c:v>
                </c:pt>
                <c:pt idx="4">
                  <c:v>20</c:v>
                </c:pt>
                <c:pt idx="5">
                  <c:v>70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60</c:v>
                </c:pt>
                <c:pt idx="10">
                  <c:v>30</c:v>
                </c:pt>
                <c:pt idx="11">
                  <c:v>30</c:v>
                </c:pt>
                <c:pt idx="12">
                  <c:v>48</c:v>
                </c:pt>
                <c:pt idx="13">
                  <c:v>24</c:v>
                </c:pt>
                <c:pt idx="14">
                  <c:v>25</c:v>
                </c:pt>
                <c:pt idx="15">
                  <c:v>21</c:v>
                </c:pt>
                <c:pt idx="16">
                  <c:v>20</c:v>
                </c:pt>
                <c:pt idx="17">
                  <c:v>40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18</c:v>
                </c:pt>
                <c:pt idx="23">
                  <c:v>10</c:v>
                </c:pt>
                <c:pt idx="24">
                  <c:v>50</c:v>
                </c:pt>
                <c:pt idx="25">
                  <c:v>15</c:v>
                </c:pt>
                <c:pt idx="26">
                  <c:v>21</c:v>
                </c:pt>
                <c:pt idx="27">
                  <c:v>16</c:v>
                </c:pt>
                <c:pt idx="28">
                  <c:v>28</c:v>
                </c:pt>
                <c:pt idx="29">
                  <c:v>12</c:v>
                </c:pt>
                <c:pt idx="30">
                  <c:v>10</c:v>
                </c:pt>
                <c:pt idx="31">
                  <c:v>16</c:v>
                </c:pt>
                <c:pt idx="32">
                  <c:v>11</c:v>
                </c:pt>
                <c:pt idx="33">
                  <c:v>60</c:v>
                </c:pt>
                <c:pt idx="34">
                  <c:v>120</c:v>
                </c:pt>
                <c:pt idx="35">
                  <c:v>40</c:v>
                </c:pt>
                <c:pt idx="36">
                  <c:v>25</c:v>
                </c:pt>
                <c:pt idx="37">
                  <c:v>22</c:v>
                </c:pt>
                <c:pt idx="38">
                  <c:v>40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E-4049-BB97-FF28E8F1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738591"/>
        <c:axId val="2065739551"/>
      </c:scatterChart>
      <c:valAx>
        <c:axId val="20657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5739551"/>
        <c:crosses val="autoZero"/>
        <c:crossBetween val="midCat"/>
      </c:valAx>
      <c:valAx>
        <c:axId val="206573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573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distribucion de satisfaccion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'3_Satisfaccion'!$E$11</c:f>
              <c:strCache>
                <c:ptCount val="1"/>
                <c:pt idx="0">
                  <c:v>Nº de Clientes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'3_Satisfaccion'!$D$12:$D$16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'3_Satisfaccion'!$E$12:$E$16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E-4387-95FF-C7797C618E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1636383"/>
        <c:axId val="951622943"/>
      </c:barChart>
      <c:catAx>
        <c:axId val="95163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622943"/>
        <c:crosses val="autoZero"/>
        <c:auto val="1"/>
        <c:lblAlgn val="ctr"/>
        <c:lblOffset val="100"/>
        <c:noMultiLvlLbl val="0"/>
      </c:catAx>
      <c:valAx>
        <c:axId val="9516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63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'4_Probabilidad'!$E$5</c:f>
              <c:strCache>
                <c:ptCount val="1"/>
                <c:pt idx="0">
                  <c:v>Frecuencia Absoluta</c:v>
                </c:pt>
              </c:strCache>
            </c:strRef>
          </c:tx>
          <c:explosion val="2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EDF-4C00-BE34-72FA456513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EDF-4C00-BE34-72FA456513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EDF-4C00-BE34-72FA45651318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'4_Probabilidad'!$D$6:$D$8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'4_Probabilidad'!$E$6:$E$8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6-4C99-ADB1-E64FF7088F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4000">
          <a:schemeClr val="accent2">
            <a:lumMod val="0"/>
            <a:lumOff val="100000"/>
          </a:schemeClr>
        </a:gs>
        <a:gs pos="64000">
          <a:schemeClr val="accent2">
            <a:lumMod val="0"/>
            <a:lumOff val="100000"/>
          </a:schemeClr>
        </a:gs>
        <a:gs pos="77000">
          <a:schemeClr val="accent2">
            <a:alpha val="93000"/>
            <a:lumMod val="36000"/>
            <a:lumOff val="64000"/>
          </a:schemeClr>
        </a:gs>
      </a:gsLst>
      <a:path path="shape">
        <a:fillToRect l="50000" t="50000" r="50000" b="5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probabilidad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'4_Probabilidad'!$G$5</c:f>
              <c:strCache>
                <c:ptCount val="1"/>
                <c:pt idx="0">
                  <c:v>Probabilidad (%)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'4_Probabilidad'!$D$6:$D$8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'4_Probabilidad'!$G$6:$G$8</c:f>
              <c:numCache>
                <c:formatCode>0.00%</c:formatCode>
                <c:ptCount val="3"/>
                <c:pt idx="0">
                  <c:v>0.26190476190476192</c:v>
                </c:pt>
                <c:pt idx="1">
                  <c:v>0.40476190476190477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8-49B4-982D-57A085A1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D1AFBD94-D26E-42CF-A62E-A9E520ADBA3A}">
          <cx:tx>
            <cx:txData>
              <cx:f>_xlchart.v1.1</cx:f>
              <cx:v>Precio_Unitario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11</xdr:row>
      <xdr:rowOff>129540</xdr:rowOff>
    </xdr:from>
    <xdr:to>
      <xdr:col>12</xdr:col>
      <xdr:colOff>83820</xdr:colOff>
      <xdr:row>32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25421B4-4A46-14C2-9C94-E51B25FA2E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4820" y="2186940"/>
              <a:ext cx="6766560" cy="3802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11</xdr:row>
      <xdr:rowOff>163830</xdr:rowOff>
    </xdr:from>
    <xdr:to>
      <xdr:col>12</xdr:col>
      <xdr:colOff>99060</xdr:colOff>
      <xdr:row>34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E567F5-A379-286D-BCC4-D9A122B5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19</xdr:row>
      <xdr:rowOff>140970</xdr:rowOff>
    </xdr:from>
    <xdr:to>
      <xdr:col>11</xdr:col>
      <xdr:colOff>152400</xdr:colOff>
      <xdr:row>37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E76BBB-E270-5955-9D2F-865D28996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17</xdr:row>
      <xdr:rowOff>19050</xdr:rowOff>
    </xdr:from>
    <xdr:to>
      <xdr:col>6</xdr:col>
      <xdr:colOff>1143000</xdr:colOff>
      <xdr:row>32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98EA9C-91F2-9FE7-A6C5-8CE401D06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16</xdr:row>
      <xdr:rowOff>87630</xdr:rowOff>
    </xdr:from>
    <xdr:to>
      <xdr:col>14</xdr:col>
      <xdr:colOff>495300</xdr:colOff>
      <xdr:row>31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4F37D8-59E9-DE73-F525-0CAE5CF41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2" activePane="bottomLeft" state="frozen"/>
      <selection pane="bottomLeft" activeCell="P15" sqref="P15"/>
    </sheetView>
  </sheetViews>
  <sheetFormatPr baseColWidth="10" defaultColWidth="8.77734375"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selection activeCell="F6" sqref="F6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6" ht="18" x14ac:dyDescent="0.35">
      <c r="A1" s="1" t="s">
        <v>120</v>
      </c>
    </row>
    <row r="4" spans="1:6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6" x14ac:dyDescent="0.3">
      <c r="A5" t="s">
        <v>56</v>
      </c>
      <c r="B5">
        <v>25.5</v>
      </c>
      <c r="D5" s="3" t="s">
        <v>123</v>
      </c>
      <c r="E5" s="4">
        <f>AVERAGE(B5:B46)</f>
        <v>60.011904761904759</v>
      </c>
    </row>
    <row r="6" spans="1:6" x14ac:dyDescent="0.3">
      <c r="A6" t="s">
        <v>57</v>
      </c>
      <c r="B6">
        <v>18</v>
      </c>
      <c r="D6" s="3" t="s">
        <v>124</v>
      </c>
      <c r="E6" s="4">
        <f>MEDIAN(B5:B46)</f>
        <v>35</v>
      </c>
    </row>
    <row r="7" spans="1:6" x14ac:dyDescent="0.3">
      <c r="A7" t="s">
        <v>58</v>
      </c>
      <c r="B7">
        <v>85</v>
      </c>
      <c r="D7" s="3" t="s">
        <v>125</v>
      </c>
      <c r="E7" s="4">
        <f>_xlfn.MODE.SNGL(B5:B46)</f>
        <v>18</v>
      </c>
      <c r="F7" t="s">
        <v>155</v>
      </c>
    </row>
    <row r="8" spans="1:6" x14ac:dyDescent="0.3">
      <c r="A8" t="s">
        <v>59</v>
      </c>
      <c r="B8">
        <v>110</v>
      </c>
      <c r="D8" s="3" t="s">
        <v>126</v>
      </c>
      <c r="E8" s="4">
        <f>_xlfn.STDEV.S(B5:B46)</f>
        <v>63.23692269082472</v>
      </c>
      <c r="F8" t="s">
        <v>156</v>
      </c>
    </row>
    <row r="9" spans="1:6" x14ac:dyDescent="0.3">
      <c r="A9" t="s">
        <v>60</v>
      </c>
      <c r="B9">
        <v>35</v>
      </c>
    </row>
    <row r="10" spans="1:6" x14ac:dyDescent="0.3">
      <c r="A10" t="s">
        <v>61</v>
      </c>
      <c r="B10">
        <v>250</v>
      </c>
    </row>
    <row r="11" spans="1:6" x14ac:dyDescent="0.3">
      <c r="A11" t="s">
        <v>62</v>
      </c>
      <c r="B11">
        <v>45</v>
      </c>
      <c r="D11" s="5" t="s">
        <v>127</v>
      </c>
    </row>
    <row r="12" spans="1:6" x14ac:dyDescent="0.3">
      <c r="A12" t="s">
        <v>63</v>
      </c>
      <c r="B12">
        <v>15</v>
      </c>
    </row>
    <row r="13" spans="1:6" x14ac:dyDescent="0.3">
      <c r="A13" t="s">
        <v>64</v>
      </c>
      <c r="B13">
        <v>90</v>
      </c>
    </row>
    <row r="14" spans="1:6" x14ac:dyDescent="0.3">
      <c r="A14" t="s">
        <v>65</v>
      </c>
      <c r="B14">
        <v>65</v>
      </c>
    </row>
    <row r="15" spans="1:6" x14ac:dyDescent="0.3">
      <c r="A15" t="s">
        <v>66</v>
      </c>
      <c r="B15">
        <v>28</v>
      </c>
    </row>
    <row r="16" spans="1:6" x14ac:dyDescent="0.3">
      <c r="A16" t="s">
        <v>67</v>
      </c>
      <c r="B16">
        <v>55</v>
      </c>
    </row>
    <row r="17" spans="1:2" x14ac:dyDescent="0.3">
      <c r="A17" t="s">
        <v>68</v>
      </c>
      <c r="B17">
        <v>20</v>
      </c>
    </row>
    <row r="18" spans="1:2" x14ac:dyDescent="0.3">
      <c r="A18" t="s">
        <v>69</v>
      </c>
      <c r="B18">
        <v>42</v>
      </c>
    </row>
    <row r="19" spans="1:2" x14ac:dyDescent="0.3">
      <c r="A19" t="s">
        <v>70</v>
      </c>
      <c r="B19">
        <v>8</v>
      </c>
    </row>
    <row r="20" spans="1:2" x14ac:dyDescent="0.3">
      <c r="A20" t="s">
        <v>71</v>
      </c>
      <c r="B20">
        <v>12</v>
      </c>
    </row>
    <row r="21" spans="1:2" x14ac:dyDescent="0.3">
      <c r="A21" t="s">
        <v>72</v>
      </c>
      <c r="B21">
        <v>18</v>
      </c>
    </row>
    <row r="22" spans="1:2" x14ac:dyDescent="0.3">
      <c r="A22" t="s">
        <v>73</v>
      </c>
      <c r="B22">
        <v>95</v>
      </c>
    </row>
    <row r="23" spans="1:2" x14ac:dyDescent="0.3">
      <c r="A23" t="s">
        <v>74</v>
      </c>
      <c r="B23">
        <v>45</v>
      </c>
    </row>
    <row r="24" spans="1:2" x14ac:dyDescent="0.3">
      <c r="A24" t="s">
        <v>75</v>
      </c>
      <c r="B24">
        <v>60</v>
      </c>
    </row>
    <row r="25" spans="1:2" x14ac:dyDescent="0.3">
      <c r="A25" t="s">
        <v>76</v>
      </c>
      <c r="B25">
        <v>10</v>
      </c>
    </row>
    <row r="26" spans="1:2" x14ac:dyDescent="0.3">
      <c r="A26" t="s">
        <v>77</v>
      </c>
      <c r="B26">
        <v>35</v>
      </c>
    </row>
    <row r="27" spans="1:2" x14ac:dyDescent="0.3">
      <c r="A27" t="s">
        <v>78</v>
      </c>
      <c r="B27">
        <v>15</v>
      </c>
    </row>
    <row r="28" spans="1:2" x14ac:dyDescent="0.3">
      <c r="A28" t="s">
        <v>79</v>
      </c>
      <c r="B28">
        <v>18</v>
      </c>
    </row>
    <row r="29" spans="1:2" x14ac:dyDescent="0.3">
      <c r="A29" t="s">
        <v>80</v>
      </c>
      <c r="B29">
        <v>120</v>
      </c>
    </row>
    <row r="30" spans="1:2" x14ac:dyDescent="0.3">
      <c r="A30" t="s">
        <v>81</v>
      </c>
      <c r="B30">
        <v>6</v>
      </c>
    </row>
    <row r="31" spans="1:2" x14ac:dyDescent="0.3">
      <c r="A31" t="s">
        <v>82</v>
      </c>
      <c r="B31">
        <v>12</v>
      </c>
    </row>
    <row r="32" spans="1:2" x14ac:dyDescent="0.3">
      <c r="A32" t="s">
        <v>83</v>
      </c>
      <c r="B32">
        <v>30</v>
      </c>
    </row>
    <row r="33" spans="1:4" x14ac:dyDescent="0.3">
      <c r="A33" t="s">
        <v>84</v>
      </c>
      <c r="B33">
        <v>25</v>
      </c>
    </row>
    <row r="34" spans="1:4" x14ac:dyDescent="0.3">
      <c r="A34" t="s">
        <v>85</v>
      </c>
      <c r="B34">
        <v>22</v>
      </c>
    </row>
    <row r="35" spans="1:4" x14ac:dyDescent="0.3">
      <c r="A35" t="s">
        <v>86</v>
      </c>
      <c r="B35">
        <v>8</v>
      </c>
      <c r="D35" t="s">
        <v>150</v>
      </c>
    </row>
    <row r="36" spans="1:4" x14ac:dyDescent="0.3">
      <c r="A36" t="s">
        <v>87</v>
      </c>
      <c r="B36">
        <v>28</v>
      </c>
      <c r="D36" t="s">
        <v>151</v>
      </c>
    </row>
    <row r="37" spans="1:4" x14ac:dyDescent="0.3">
      <c r="A37" t="s">
        <v>88</v>
      </c>
      <c r="B37">
        <v>20</v>
      </c>
      <c r="D37" t="s">
        <v>152</v>
      </c>
    </row>
    <row r="38" spans="1:4" x14ac:dyDescent="0.3">
      <c r="A38" t="s">
        <v>89</v>
      </c>
      <c r="B38">
        <v>150</v>
      </c>
      <c r="D38" t="s">
        <v>154</v>
      </c>
    </row>
    <row r="39" spans="1:4" x14ac:dyDescent="0.3">
      <c r="A39" t="s">
        <v>90</v>
      </c>
      <c r="B39">
        <v>300</v>
      </c>
      <c r="D39" t="s">
        <v>153</v>
      </c>
    </row>
    <row r="40" spans="1:4" x14ac:dyDescent="0.3">
      <c r="A40" t="s">
        <v>91</v>
      </c>
      <c r="B40">
        <v>85</v>
      </c>
    </row>
    <row r="41" spans="1:4" x14ac:dyDescent="0.3">
      <c r="A41" t="s">
        <v>92</v>
      </c>
      <c r="B41">
        <v>50</v>
      </c>
    </row>
    <row r="42" spans="1:4" x14ac:dyDescent="0.3">
      <c r="A42" t="s">
        <v>93</v>
      </c>
      <c r="B42">
        <v>40</v>
      </c>
    </row>
    <row r="43" spans="1:4" x14ac:dyDescent="0.3">
      <c r="A43" t="s">
        <v>94</v>
      </c>
      <c r="B43">
        <v>35</v>
      </c>
    </row>
    <row r="44" spans="1:4" x14ac:dyDescent="0.3">
      <c r="A44" t="s">
        <v>95</v>
      </c>
      <c r="B44">
        <v>130</v>
      </c>
    </row>
    <row r="45" spans="1:4" x14ac:dyDescent="0.3">
      <c r="A45" t="s">
        <v>95</v>
      </c>
      <c r="B45">
        <v>130</v>
      </c>
    </row>
    <row r="46" spans="1:4" x14ac:dyDescent="0.3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opLeftCell="A3" workbookViewId="0">
      <selection activeCell="E42" sqref="E42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15.664062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>
        <f>AVERAGE(C:C)</f>
        <v>32.511904761904759</v>
      </c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>
        <f>_xlfn.STDEV.S(C5:C46)</f>
        <v>20.550499399082351</v>
      </c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>
        <f>MIN(C5:C46)</f>
        <v>10</v>
      </c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>
        <f>MAX(C5:C46)</f>
        <v>120</v>
      </c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5" x14ac:dyDescent="0.3">
      <c r="A33" t="s">
        <v>84</v>
      </c>
      <c r="B33">
        <v>22</v>
      </c>
      <c r="C33">
        <v>28</v>
      </c>
    </row>
    <row r="34" spans="1:5" x14ac:dyDescent="0.3">
      <c r="A34" t="s">
        <v>85</v>
      </c>
      <c r="B34">
        <v>10</v>
      </c>
      <c r="C34">
        <v>12</v>
      </c>
    </row>
    <row r="35" spans="1:5" x14ac:dyDescent="0.3">
      <c r="A35" t="s">
        <v>86</v>
      </c>
      <c r="B35">
        <v>6</v>
      </c>
      <c r="C35">
        <v>10</v>
      </c>
    </row>
    <row r="36" spans="1:5" x14ac:dyDescent="0.3">
      <c r="A36" t="s">
        <v>87</v>
      </c>
      <c r="B36">
        <v>12</v>
      </c>
      <c r="C36">
        <v>16</v>
      </c>
    </row>
    <row r="37" spans="1:5" x14ac:dyDescent="0.3">
      <c r="A37" t="s">
        <v>88</v>
      </c>
      <c r="B37">
        <v>9</v>
      </c>
      <c r="C37">
        <v>11</v>
      </c>
      <c r="E37" t="s">
        <v>157</v>
      </c>
    </row>
    <row r="38" spans="1:5" x14ac:dyDescent="0.3">
      <c r="A38" t="s">
        <v>89</v>
      </c>
      <c r="B38">
        <v>90</v>
      </c>
      <c r="C38">
        <v>60</v>
      </c>
      <c r="E38" t="s">
        <v>158</v>
      </c>
    </row>
    <row r="39" spans="1:5" x14ac:dyDescent="0.3">
      <c r="A39" t="s">
        <v>90</v>
      </c>
      <c r="B39">
        <v>180</v>
      </c>
      <c r="C39">
        <v>120</v>
      </c>
      <c r="E39" t="s">
        <v>159</v>
      </c>
    </row>
    <row r="40" spans="1:5" x14ac:dyDescent="0.3">
      <c r="A40" t="s">
        <v>91</v>
      </c>
      <c r="B40">
        <v>45</v>
      </c>
      <c r="C40">
        <v>40</v>
      </c>
      <c r="E40" t="s">
        <v>160</v>
      </c>
    </row>
    <row r="41" spans="1:5" x14ac:dyDescent="0.3">
      <c r="A41" t="s">
        <v>92</v>
      </c>
      <c r="B41">
        <v>25</v>
      </c>
      <c r="C41">
        <v>25</v>
      </c>
      <c r="E41" t="s">
        <v>161</v>
      </c>
    </row>
    <row r="42" spans="1:5" x14ac:dyDescent="0.3">
      <c r="A42" t="s">
        <v>93</v>
      </c>
      <c r="B42">
        <v>18</v>
      </c>
      <c r="C42">
        <v>22</v>
      </c>
    </row>
    <row r="43" spans="1:5" x14ac:dyDescent="0.3">
      <c r="A43" t="s">
        <v>94</v>
      </c>
      <c r="B43">
        <v>30</v>
      </c>
      <c r="C43">
        <v>40</v>
      </c>
    </row>
    <row r="44" spans="1:5" x14ac:dyDescent="0.3">
      <c r="A44" t="s">
        <v>95</v>
      </c>
      <c r="B44">
        <v>80</v>
      </c>
      <c r="C44">
        <v>50</v>
      </c>
    </row>
    <row r="45" spans="1:5" x14ac:dyDescent="0.3">
      <c r="A45" t="s">
        <v>95</v>
      </c>
      <c r="B45">
        <v>80</v>
      </c>
      <c r="C45">
        <v>50</v>
      </c>
    </row>
    <row r="46" spans="1:5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topLeftCell="A9" workbookViewId="0">
      <selection activeCell="M30" sqref="M30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>
        <f>AVERAGE(B5:B46)</f>
        <v>4.2857142857142856</v>
      </c>
    </row>
    <row r="6" spans="1:5" x14ac:dyDescent="0.3">
      <c r="A6" t="s">
        <v>57</v>
      </c>
      <c r="B6">
        <v>5</v>
      </c>
      <c r="D6" s="3" t="s">
        <v>124</v>
      </c>
      <c r="E6" s="4">
        <f>MEDIAN(B5:B46)</f>
        <v>4</v>
      </c>
    </row>
    <row r="7" spans="1:5" x14ac:dyDescent="0.3">
      <c r="A7" t="s">
        <v>58</v>
      </c>
      <c r="B7">
        <v>4</v>
      </c>
      <c r="D7" s="3" t="s">
        <v>125</v>
      </c>
      <c r="E7" s="4">
        <f>_xlfn.MODE.SNGL(B5:B46)</f>
        <v>4</v>
      </c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2" t="s">
        <v>134</v>
      </c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>
        <f>COUNTIF($B$5:$B$46,D12)</f>
        <v>0</v>
      </c>
    </row>
    <row r="13" spans="1:5" x14ac:dyDescent="0.3">
      <c r="A13" t="s">
        <v>64</v>
      </c>
      <c r="B13">
        <v>5</v>
      </c>
      <c r="D13" s="3">
        <v>2</v>
      </c>
      <c r="E13" s="4">
        <f t="shared" ref="E13:E16" si="0">COUNTIF($B$5:$B$46,D13)</f>
        <v>1</v>
      </c>
    </row>
    <row r="14" spans="1:5" x14ac:dyDescent="0.3">
      <c r="A14" t="s">
        <v>65</v>
      </c>
      <c r="B14">
        <v>4</v>
      </c>
      <c r="D14" s="3">
        <v>3</v>
      </c>
      <c r="E14" s="4">
        <f t="shared" si="0"/>
        <v>4</v>
      </c>
    </row>
    <row r="15" spans="1:5" x14ac:dyDescent="0.3">
      <c r="A15" t="s">
        <v>66</v>
      </c>
      <c r="B15">
        <v>5</v>
      </c>
      <c r="D15" s="3">
        <v>4</v>
      </c>
      <c r="E15" s="4">
        <f t="shared" si="0"/>
        <v>19</v>
      </c>
    </row>
    <row r="16" spans="1:5" x14ac:dyDescent="0.3">
      <c r="A16" t="s">
        <v>67</v>
      </c>
      <c r="B16">
        <v>2</v>
      </c>
      <c r="D16" s="3">
        <v>5</v>
      </c>
      <c r="E16" s="4">
        <f t="shared" si="0"/>
        <v>18</v>
      </c>
    </row>
    <row r="17" spans="1:4" x14ac:dyDescent="0.3">
      <c r="A17" t="s">
        <v>68</v>
      </c>
      <c r="B17">
        <v>4</v>
      </c>
    </row>
    <row r="18" spans="1:4" x14ac:dyDescent="0.3">
      <c r="A18" t="s">
        <v>69</v>
      </c>
      <c r="B18">
        <v>4</v>
      </c>
    </row>
    <row r="19" spans="1:4" x14ac:dyDescent="0.3">
      <c r="A19" t="s">
        <v>70</v>
      </c>
      <c r="B19">
        <v>5</v>
      </c>
      <c r="D19" s="5" t="s">
        <v>137</v>
      </c>
    </row>
    <row r="20" spans="1:4" x14ac:dyDescent="0.3">
      <c r="A20" t="s">
        <v>71</v>
      </c>
      <c r="B20">
        <v>5</v>
      </c>
    </row>
    <row r="21" spans="1:4" x14ac:dyDescent="0.3">
      <c r="A21" t="s">
        <v>72</v>
      </c>
      <c r="B21">
        <v>4</v>
      </c>
    </row>
    <row r="22" spans="1:4" x14ac:dyDescent="0.3">
      <c r="A22" t="s">
        <v>73</v>
      </c>
      <c r="B22">
        <v>4</v>
      </c>
    </row>
    <row r="23" spans="1:4" x14ac:dyDescent="0.3">
      <c r="A23" t="s">
        <v>74</v>
      </c>
      <c r="B23">
        <v>5</v>
      </c>
    </row>
    <row r="24" spans="1:4" x14ac:dyDescent="0.3">
      <c r="A24" t="s">
        <v>75</v>
      </c>
      <c r="B24">
        <v>3</v>
      </c>
    </row>
    <row r="25" spans="1:4" x14ac:dyDescent="0.3">
      <c r="A25" t="s">
        <v>76</v>
      </c>
      <c r="B25">
        <v>5</v>
      </c>
    </row>
    <row r="26" spans="1:4" x14ac:dyDescent="0.3">
      <c r="A26" t="s">
        <v>77</v>
      </c>
      <c r="B26">
        <v>4</v>
      </c>
    </row>
    <row r="27" spans="1:4" x14ac:dyDescent="0.3">
      <c r="A27" t="s">
        <v>78</v>
      </c>
      <c r="B27">
        <v>4</v>
      </c>
    </row>
    <row r="28" spans="1:4" x14ac:dyDescent="0.3">
      <c r="A28" t="s">
        <v>79</v>
      </c>
      <c r="B28">
        <v>3</v>
      </c>
    </row>
    <row r="29" spans="1:4" x14ac:dyDescent="0.3">
      <c r="A29" t="s">
        <v>80</v>
      </c>
      <c r="B29">
        <v>5</v>
      </c>
    </row>
    <row r="30" spans="1:4" x14ac:dyDescent="0.3">
      <c r="A30" t="s">
        <v>81</v>
      </c>
      <c r="B30">
        <v>4</v>
      </c>
    </row>
    <row r="31" spans="1:4" x14ac:dyDescent="0.3">
      <c r="A31" t="s">
        <v>82</v>
      </c>
      <c r="B31">
        <v>5</v>
      </c>
    </row>
    <row r="32" spans="1:4" x14ac:dyDescent="0.3">
      <c r="A32" t="s">
        <v>83</v>
      </c>
      <c r="B32">
        <v>4</v>
      </c>
    </row>
    <row r="33" spans="1:4" x14ac:dyDescent="0.3">
      <c r="A33" t="s">
        <v>84</v>
      </c>
      <c r="B33">
        <v>5</v>
      </c>
    </row>
    <row r="34" spans="1:4" x14ac:dyDescent="0.3">
      <c r="A34" t="s">
        <v>85</v>
      </c>
      <c r="B34">
        <v>4</v>
      </c>
    </row>
    <row r="35" spans="1:4" x14ac:dyDescent="0.3">
      <c r="A35" t="s">
        <v>86</v>
      </c>
      <c r="B35">
        <v>3</v>
      </c>
    </row>
    <row r="36" spans="1:4" x14ac:dyDescent="0.3">
      <c r="A36" t="s">
        <v>87</v>
      </c>
      <c r="B36">
        <v>4</v>
      </c>
    </row>
    <row r="37" spans="1:4" x14ac:dyDescent="0.3">
      <c r="A37" t="s">
        <v>88</v>
      </c>
      <c r="B37">
        <v>5</v>
      </c>
    </row>
    <row r="38" spans="1:4" x14ac:dyDescent="0.3">
      <c r="A38" t="s">
        <v>89</v>
      </c>
      <c r="B38">
        <v>4</v>
      </c>
    </row>
    <row r="39" spans="1:4" x14ac:dyDescent="0.3">
      <c r="A39" t="s">
        <v>90</v>
      </c>
      <c r="B39">
        <v>5</v>
      </c>
    </row>
    <row r="40" spans="1:4" x14ac:dyDescent="0.3">
      <c r="A40" t="s">
        <v>91</v>
      </c>
      <c r="B40">
        <v>4</v>
      </c>
      <c r="D40" t="s">
        <v>162</v>
      </c>
    </row>
    <row r="41" spans="1:4" x14ac:dyDescent="0.3">
      <c r="A41" t="s">
        <v>92</v>
      </c>
      <c r="B41">
        <v>4</v>
      </c>
    </row>
    <row r="42" spans="1:4" x14ac:dyDescent="0.3">
      <c r="A42" t="s">
        <v>93</v>
      </c>
      <c r="B42">
        <v>5</v>
      </c>
    </row>
    <row r="43" spans="1:4" x14ac:dyDescent="0.3">
      <c r="A43" t="s">
        <v>94</v>
      </c>
      <c r="B43">
        <v>4</v>
      </c>
    </row>
    <row r="44" spans="1:4" x14ac:dyDescent="0.3">
      <c r="A44" t="s">
        <v>95</v>
      </c>
      <c r="B44">
        <v>5</v>
      </c>
    </row>
    <row r="45" spans="1:4" x14ac:dyDescent="0.3">
      <c r="A45" t="s">
        <v>95</v>
      </c>
      <c r="B45">
        <v>5</v>
      </c>
    </row>
    <row r="46" spans="1:4" x14ac:dyDescent="0.3">
      <c r="A46" t="s">
        <v>95</v>
      </c>
      <c r="B46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H46"/>
  <sheetViews>
    <sheetView tabSelected="1" topLeftCell="A3" workbookViewId="0">
      <selection activeCell="P10" sqref="P10"/>
    </sheetView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8" ht="18" x14ac:dyDescent="0.35">
      <c r="A1" s="1" t="s">
        <v>149</v>
      </c>
    </row>
    <row r="3" spans="1:8" x14ac:dyDescent="0.3">
      <c r="D3" s="3" t="s">
        <v>148</v>
      </c>
      <c r="E3" s="4">
        <f>COUNTA(B5:B46)</f>
        <v>42</v>
      </c>
    </row>
    <row r="4" spans="1:8" x14ac:dyDescent="0.3">
      <c r="A4" s="2" t="s">
        <v>2</v>
      </c>
      <c r="B4" s="2" t="s">
        <v>7</v>
      </c>
    </row>
    <row r="5" spans="1:8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8" x14ac:dyDescent="0.3">
      <c r="A6" t="s">
        <v>57</v>
      </c>
      <c r="B6" t="s">
        <v>111</v>
      </c>
      <c r="D6" s="3" t="s">
        <v>110</v>
      </c>
      <c r="E6" s="4">
        <f>COUNTIF($B$5:$B$46,D6)</f>
        <v>11</v>
      </c>
      <c r="F6" s="8">
        <f>E6/$E$3</f>
        <v>0.26190476190476192</v>
      </c>
      <c r="G6" s="7">
        <v>0.26190476190476192</v>
      </c>
    </row>
    <row r="7" spans="1:8" x14ac:dyDescent="0.3">
      <c r="A7" t="s">
        <v>58</v>
      </c>
      <c r="B7" t="s">
        <v>112</v>
      </c>
      <c r="D7" s="3" t="s">
        <v>111</v>
      </c>
      <c r="E7" s="4">
        <f t="shared" ref="E7:E8" si="0">COUNTIF($B$5:$B$46,D7)</f>
        <v>17</v>
      </c>
      <c r="F7" s="8">
        <f t="shared" ref="F7:F8" si="1">E7/$E$3</f>
        <v>0.40476190476190477</v>
      </c>
      <c r="G7" s="7">
        <v>0.40476190476190477</v>
      </c>
    </row>
    <row r="8" spans="1:8" x14ac:dyDescent="0.3">
      <c r="A8" t="s">
        <v>59</v>
      </c>
      <c r="B8" t="s">
        <v>111</v>
      </c>
      <c r="D8" s="3" t="s">
        <v>112</v>
      </c>
      <c r="E8" s="4">
        <f t="shared" si="0"/>
        <v>14</v>
      </c>
      <c r="F8" s="8">
        <f t="shared" si="1"/>
        <v>0.33333333333333331</v>
      </c>
      <c r="G8" s="7">
        <v>0.33333333333333331</v>
      </c>
    </row>
    <row r="9" spans="1:8" x14ac:dyDescent="0.3">
      <c r="A9" t="s">
        <v>60</v>
      </c>
      <c r="B9" t="s">
        <v>112</v>
      </c>
      <c r="D9" s="2" t="s">
        <v>143</v>
      </c>
      <c r="E9" s="4">
        <f>SUM(E6:E8)</f>
        <v>42</v>
      </c>
      <c r="F9" s="8">
        <f>SUM(F6:F8)</f>
        <v>1</v>
      </c>
      <c r="G9" s="7">
        <f>SUM(G6:G8)</f>
        <v>1</v>
      </c>
    </row>
    <row r="10" spans="1:8" x14ac:dyDescent="0.3">
      <c r="A10" t="s">
        <v>61</v>
      </c>
      <c r="B10" t="s">
        <v>111</v>
      </c>
    </row>
    <row r="11" spans="1:8" x14ac:dyDescent="0.3">
      <c r="A11" t="s">
        <v>62</v>
      </c>
      <c r="B11" t="s">
        <v>110</v>
      </c>
      <c r="D11" s="5" t="s">
        <v>142</v>
      </c>
    </row>
    <row r="12" spans="1:8" x14ac:dyDescent="0.3">
      <c r="A12" t="s">
        <v>63</v>
      </c>
      <c r="B12" t="s">
        <v>112</v>
      </c>
      <c r="D12" s="5" t="s">
        <v>141</v>
      </c>
    </row>
    <row r="13" spans="1:8" x14ac:dyDescent="0.3">
      <c r="A13" t="s">
        <v>64</v>
      </c>
      <c r="B13" t="s">
        <v>111</v>
      </c>
      <c r="D13" s="5" t="s">
        <v>140</v>
      </c>
    </row>
    <row r="14" spans="1:8" x14ac:dyDescent="0.3">
      <c r="A14" t="s">
        <v>65</v>
      </c>
      <c r="B14" t="s">
        <v>112</v>
      </c>
    </row>
    <row r="15" spans="1:8" x14ac:dyDescent="0.3">
      <c r="A15" t="s">
        <v>66</v>
      </c>
      <c r="B15" t="s">
        <v>110</v>
      </c>
      <c r="D15" s="5" t="s">
        <v>139</v>
      </c>
      <c r="H15" s="9">
        <v>0.40479999999999999</v>
      </c>
    </row>
    <row r="16" spans="1:8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5" x14ac:dyDescent="0.3">
      <c r="A33" t="s">
        <v>84</v>
      </c>
      <c r="B33" t="s">
        <v>110</v>
      </c>
    </row>
    <row r="34" spans="1:5" x14ac:dyDescent="0.3">
      <c r="A34" t="s">
        <v>85</v>
      </c>
      <c r="B34" t="s">
        <v>112</v>
      </c>
      <c r="E34" t="s">
        <v>163</v>
      </c>
    </row>
    <row r="35" spans="1:5" x14ac:dyDescent="0.3">
      <c r="A35" t="s">
        <v>86</v>
      </c>
      <c r="B35" t="s">
        <v>111</v>
      </c>
      <c r="E35" t="s">
        <v>164</v>
      </c>
    </row>
    <row r="36" spans="1:5" x14ac:dyDescent="0.3">
      <c r="A36" t="s">
        <v>87</v>
      </c>
      <c r="B36" t="s">
        <v>110</v>
      </c>
    </row>
    <row r="37" spans="1:5" x14ac:dyDescent="0.3">
      <c r="A37" t="s">
        <v>88</v>
      </c>
      <c r="B37" t="s">
        <v>112</v>
      </c>
    </row>
    <row r="38" spans="1:5" x14ac:dyDescent="0.3">
      <c r="A38" t="s">
        <v>89</v>
      </c>
      <c r="B38" t="s">
        <v>111</v>
      </c>
    </row>
    <row r="39" spans="1:5" x14ac:dyDescent="0.3">
      <c r="A39" t="s">
        <v>90</v>
      </c>
      <c r="B39" t="s">
        <v>112</v>
      </c>
    </row>
    <row r="40" spans="1:5" x14ac:dyDescent="0.3">
      <c r="A40" t="s">
        <v>91</v>
      </c>
      <c r="B40" t="s">
        <v>110</v>
      </c>
    </row>
    <row r="41" spans="1:5" x14ac:dyDescent="0.3">
      <c r="A41" t="s">
        <v>92</v>
      </c>
      <c r="B41" t="s">
        <v>111</v>
      </c>
    </row>
    <row r="42" spans="1:5" x14ac:dyDescent="0.3">
      <c r="A42" t="s">
        <v>93</v>
      </c>
      <c r="B42" t="s">
        <v>112</v>
      </c>
    </row>
    <row r="43" spans="1:5" x14ac:dyDescent="0.3">
      <c r="A43" t="s">
        <v>94</v>
      </c>
      <c r="B43" t="s">
        <v>110</v>
      </c>
    </row>
    <row r="44" spans="1:5" x14ac:dyDescent="0.3">
      <c r="A44" t="s">
        <v>95</v>
      </c>
      <c r="B44" t="s">
        <v>111</v>
      </c>
    </row>
    <row r="45" spans="1:5" x14ac:dyDescent="0.3">
      <c r="A45" t="s">
        <v>95</v>
      </c>
      <c r="B45" t="s">
        <v>111</v>
      </c>
    </row>
    <row r="46" spans="1:5" x14ac:dyDescent="0.3">
      <c r="A46" t="s">
        <v>95</v>
      </c>
      <c r="B46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UsuarioM</dc:creator>
  <cp:lastModifiedBy>XTALENTO 101</cp:lastModifiedBy>
  <dcterms:created xsi:type="dcterms:W3CDTF">2026-03-08T23:16:31Z</dcterms:created>
  <dcterms:modified xsi:type="dcterms:W3CDTF">2026-03-09T11:52:03Z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2026-03-09T08:14:18Z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4fd1ceb1-c440-48de-bf33-9a22cf242f49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