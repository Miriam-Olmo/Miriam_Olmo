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5036847D-E5C4-4601-9476-C7D7F7EE1AF4}" xr6:coauthVersionLast="47" xr6:coauthVersionMax="47" xr10:uidLastSave="{00000000-0000-0000-0000-000000000000}"/>
  <bookViews>
    <workbookView xWindow="-108" yWindow="-108" windowWidth="30936" windowHeight="16776" tabRatio="500" firstSheet="3" activeTab="9" xr2:uid="{00000000-000D-0000-FFFF-FFFF00000000}"/>
  </bookViews>
  <sheets>
    <sheet name="Datos" sheetId="1" r:id="rId1"/>
    <sheet name="Venta_por_categoria" sheetId="2" r:id="rId2"/>
    <sheet name="venta por_categoria2" sheetId="3" r:id="rId3"/>
    <sheet name="beneficio_por_canal" sheetId="5" r:id="rId4"/>
    <sheet name="producto_estrella" sheetId="6" r:id="rId5"/>
    <sheet name="Hoja3" sheetId="7" r:id="rId6"/>
    <sheet name="Hoja4" sheetId="8" r:id="rId7"/>
    <sheet name="desviacion_tipica" sheetId="9" r:id="rId8"/>
    <sheet name="totales" sheetId="11" r:id="rId9"/>
    <sheet name="frecuencias" sheetId="12" r:id="rId10"/>
  </sheets>
  <definedNames>
    <definedName name="_xlnm._FilterDatabase" localSheetId="0" hidden="1">Datos!$A$1:$N$41</definedName>
    <definedName name="_xlnm._FilterDatabase" localSheetId="5" hidden="1">Hoja3!$J$1:$J$41</definedName>
    <definedName name="_xlnm._FilterDatabase" localSheetId="6" hidden="1">Hoja4!$A$2:$B$7</definedName>
    <definedName name="_xlnm._FilterDatabase" localSheetId="4" hidden="1">producto_estrella!$N$1:$N$46</definedName>
    <definedName name="_xlnm.Extract" localSheetId="4">producto_estrella!$T$4:$T$9</definedName>
    <definedName name="_xlnm.Criteria" localSheetId="4">producto_estrella!$D:$D</definedName>
    <definedName name="DatosExternos_1" localSheetId="3" hidden="1">beneficio_por_canal!$A$1:$N$41</definedName>
    <definedName name="DatosExternos_1" localSheetId="8" hidden="1">totales!$A$1:$G$41</definedName>
    <definedName name="tabla_datos">Tabla2[]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a2_5e8d3c80-a71f-43e6-ac5d-4aa1d5ed8fee" name="Tabla2" connection="Consulta - Tabl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D6" i="12"/>
  <c r="D4" i="12"/>
  <c r="C5" i="12"/>
  <c r="C7" i="12" s="1"/>
  <c r="C6" i="12"/>
  <c r="C4" i="12"/>
  <c r="E42" i="1"/>
  <c r="B4" i="12" a="1"/>
  <c r="B4" i="12" s="1"/>
  <c r="K12" i="11"/>
  <c r="K17" i="11"/>
  <c r="K16" i="11"/>
  <c r="K15" i="11" s="1"/>
  <c r="K14" i="11"/>
  <c r="L10" i="11"/>
  <c r="K10" i="11"/>
  <c r="K9" i="11"/>
  <c r="K8" i="11"/>
  <c r="K7" i="11"/>
  <c r="E20" i="9"/>
  <c r="E12" i="9"/>
  <c r="B20" i="9"/>
  <c r="B12" i="9"/>
  <c r="B11" i="9"/>
  <c r="B19" i="9"/>
  <c r="A2" i="8" a="1"/>
  <c r="A2" i="8" s="1"/>
  <c r="B2" i="8" s="1"/>
  <c r="H2" i="7" a="1"/>
  <c r="H2" i="7" s="1"/>
  <c r="J2" i="7" s="1"/>
  <c r="S10" i="6"/>
  <c r="S5" i="6"/>
  <c r="S6" i="6"/>
  <c r="S7" i="6"/>
  <c r="S8" i="6"/>
  <c r="S9" i="6"/>
  <c r="S4" i="6"/>
  <c r="Q3" i="5"/>
  <c r="Q4" i="5"/>
  <c r="Q2" i="5"/>
  <c r="A3" i="2" a="1"/>
  <c r="A3" i="2" s="1"/>
  <c r="C4" i="3" a="1"/>
  <c r="K20" i="11" l="1"/>
  <c r="K19" i="11"/>
  <c r="K11" i="11"/>
  <c r="B7" i="8"/>
  <c r="B6" i="8"/>
  <c r="B5" i="8"/>
  <c r="B4" i="8"/>
  <c r="B3" i="8"/>
  <c r="J6" i="7"/>
  <c r="J5" i="7"/>
  <c r="J4" i="7"/>
  <c r="I7" i="7"/>
  <c r="J3" i="7"/>
  <c r="I2" i="7"/>
  <c r="I6" i="7"/>
  <c r="I5" i="7"/>
  <c r="I4" i="7"/>
  <c r="I3" i="7"/>
  <c r="J7" i="7"/>
  <c r="C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F2EEF-1B56-4B55-A24D-23FAB9C5E444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  <connection id="2" xr16:uid="{F316C1B2-F9B8-4B32-80FA-9894444B3D4B}" name="Consulta - Tabla2" description="Conexión a la consulta 'Tabla2' en el libro." type="100" refreshedVersion="8" minRefreshableVersion="5">
    <extLst>
      <ext xmlns:x15="http://schemas.microsoft.com/office/spreadsheetml/2010/11/main" uri="{DE250136-89BD-433C-8126-D09CA5730AF9}">
        <x15:connection id="265d24d5-2706-41e9-82bf-e04de5ef9cdd"/>
      </ext>
    </extLst>
  </connection>
  <connection id="3" xr16:uid="{2A4EAB86-37C4-49A3-A922-6EAAB815159C}" keepAlive="1" name="ModelConnection_DatosExternos_1" description="Modelo de datos" type="5" refreshedVersion="8" minRefreshableVersion="5" saveData="1">
    <dbPr connection="Data Model Connection" command="Tabla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DCF5413-4CC7-4374-8E1E-A9B4C89DA00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<sst xmlns="http://schemas.openxmlformats.org/spreadsheetml/2006/main" count="1038" uniqueCount="121">
  <si>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</si>
  <si>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</si>
  <si>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</si>
  <si>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</si>
  <si>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</si>
  <si>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</si>
  <si>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</si>
  <si>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</si>
  <si>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</si>
  <si>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</si>
  <si>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</si>
  <si>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</si>
  <si>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</si>
  <si>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</si>
  <si>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</si>
  <si>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</si>
  <si>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</si>
  <si>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</si>
  <si>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</si>
  <si>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</si>
  <si>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</si>
  <si>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</si>
  <si>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</si>
  <si>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</si>
  <si>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</si>
  <si>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</si>
  <si>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</si>
  <si>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</si>
  <si>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</si>
  <si>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</si>
  <si>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</si>
  <si>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</si>
  <si>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</si>
  <si>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</si>
  <si>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</si>
  <si>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</si>
  <si>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</si>
  <si>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</si>
  <si>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</si>
  <si>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</si>
  <si>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</si>
  <si>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</si>
  <si>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</si>
  <si>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</si>
  <si>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</si>
  <si>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</si>
  <si>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</si>
  <si>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</si>
  <si>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</si>
  <si>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</si>
  <si>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</si>
  <si>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</si>
  <si>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</si>
  <si>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</si>
  <si>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</si>
  <si>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</si>
  <si>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</si>
  <si>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</si>
  <si>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</si>
  <si>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</si>
  <si>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</si>
  <si>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</si>
  <si>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</si>
  <si>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</si>
  <si>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</si>
  <si>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</si>
  <si>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</si>
  <si>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</si>
  <si>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</si>
  <si>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</si>
  <si>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</si>
  <si>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</si>
  <si>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</si>
  <si>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</si>
  <si>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</si>
  <si>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</si>
  <si>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</si>
  <si>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canal</t>
  </si>
  <si>
    <t>beneficio</t>
  </si>
  <si>
    <t>app</t>
  </si>
  <si>
    <t>web</t>
  </si>
  <si>
    <t>tienda</t>
  </si>
  <si>
    <t>haz una lista de las categorias(ropa,calzado,electronica, accesorio deportes y firnes y suma la cantidad de articulos vendidos en cada una. Crea un grafico barras horizontal ordenado de mayor a menor</t>
  </si>
  <si>
    <t>comparar volumenes mediante las barras y la importancia de ordenar los datos en un grafico para que sea facil de leer</t>
  </si>
  <si>
    <t>accesorios</t>
  </si>
  <si>
    <t>devolucion</t>
  </si>
  <si>
    <t>unidades_totales</t>
  </si>
  <si>
    <t>unidades_totales_con_devolucion(venta_real)</t>
  </si>
  <si>
    <t>categoria</t>
  </si>
  <si>
    <t>desviacion tipica</t>
  </si>
  <si>
    <t>class_royal</t>
  </si>
  <si>
    <t>pablo</t>
  </si>
  <si>
    <t>mario</t>
  </si>
  <si>
    <t>suma_total</t>
  </si>
  <si>
    <t>media</t>
  </si>
  <si>
    <t>desviacion</t>
  </si>
  <si>
    <t>desvest</t>
  </si>
  <si>
    <t>desvest.m</t>
  </si>
  <si>
    <t>desviacion de una muestra</t>
  </si>
  <si>
    <t>desvest.p</t>
  </si>
  <si>
    <t>desviacion de una poblacion</t>
  </si>
  <si>
    <t>más común</t>
  </si>
  <si>
    <t>antigua</t>
  </si>
  <si>
    <t>total unidades devueltas</t>
  </si>
  <si>
    <t>ingresos totales</t>
  </si>
  <si>
    <t>unidades totales vendidas</t>
  </si>
  <si>
    <t>beneficios totales</t>
  </si>
  <si>
    <t>porcentaje de beneficios</t>
  </si>
  <si>
    <t>tikeckt medio</t>
  </si>
  <si>
    <t>tasa de devolucion</t>
  </si>
  <si>
    <t>contar numero devoluciones</t>
  </si>
  <si>
    <t>contar total devoluciones</t>
  </si>
  <si>
    <t>margen de coste</t>
  </si>
  <si>
    <t>diferencia entre beneficio e ingreso</t>
  </si>
  <si>
    <t>total costes</t>
  </si>
  <si>
    <t>balance ingresos gastos</t>
  </si>
  <si>
    <t>por cada euro que vendo gano 0,79</t>
  </si>
  <si>
    <t>total beneficios/total costes</t>
  </si>
  <si>
    <t>tabla de frecuencias por canal</t>
  </si>
  <si>
    <t>frecuencia absoluta</t>
  </si>
  <si>
    <t>frecuencia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</si>
</sst>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_€"/>
    <numFmt numFmtId="165" formatCode="0.0"/>
    <numFmt numFmtId="166" formatCode="_-* #,##0.00\ [$€-C0A]_-;\-* #,##0.00\ [$€-C0A]_-;_-* &quot;-&quot;??\ [$€-C0A]_-;_-@_-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2" fontId="0" fillId="0" borderId="0" xfId="0" applyNumberFormat="1"/>
    <xf numFmtId="0" fontId="6" fillId="0" borderId="0" xfId="0" applyFont="1"/>
    <xf numFmtId="2" fontId="0" fillId="5" borderId="0" xfId="0" applyNumberFormat="1" applyFill="1"/>
    <xf numFmtId="0" fontId="0" fillId="5" borderId="0" xfId="0" applyFill="1"/>
    <xf numFmtId="0" fontId="0" fillId="0" borderId="3" xfId="0" applyBorder="1"/>
    <xf numFmtId="0" fontId="0" fillId="5" borderId="3" xfId="0" applyFill="1" applyBorder="1"/>
    <xf numFmtId="0" fontId="4" fillId="0" borderId="3" xfId="0" applyFont="1" applyBorder="1"/>
    <xf numFmtId="0" fontId="4" fillId="5" borderId="3" xfId="0" applyFont="1" applyFill="1" applyBorder="1"/>
    <xf numFmtId="10" fontId="4" fillId="5" borderId="3" xfId="1" applyNumberFormat="1" applyFont="1" applyFill="1" applyBorder="1"/>
    <xf numFmtId="0" fontId="4" fillId="0" borderId="0" xfId="0" applyFont="1"/>
    <xf numFmtId="2" fontId="4" fillId="5" borderId="3" xfId="0" applyNumberFormat="1" applyFont="1" applyFill="1" applyBorder="1"/>
    <xf numFmtId="9" fontId="4" fillId="5" borderId="3" xfId="1" applyFont="1" applyFill="1" applyBorder="1"/>
    <xf numFmtId="166" fontId="4" fillId="5" borderId="3" xfId="0" applyNumberFormat="1" applyFont="1" applyFill="1" applyBorder="1"/>
  </cellXfs>
  <cellStyles count="2">
    <cellStyle name="Normal" xfId="0" builtinId="0"/>
    <cellStyle name="Porcentaje" xfId="1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numFmt numFmtId="164" formatCode="#,##0.00\ _€"/>
      <fill>
        <patternFill patternType="solid">
          <fgColor rgb="FF333333"/>
          <bgColor rgb="FF0F34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04483814523184"/>
          <c:y val="0.15782407407407409"/>
          <c:w val="0.86739960629921264"/>
          <c:h val="0.407255759696704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'venta por_categoria2'!$F$1:$F$3</c:f>
              <c:strCache>
                <c:ptCount val="3"/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Cuerda de Saltar</c:v>
                </c:pt>
                <c:pt idx="1">
                  <c:v>Banda Elástica Resistencia</c:v>
                </c:pt>
                <c:pt idx="2">
                  <c:v>Esterilla de Yoga</c:v>
                </c:pt>
                <c:pt idx="3">
                  <c:v>Mancuernas 5kg (Par)</c:v>
                </c:pt>
                <c:pt idx="4">
                  <c:v>Saco de Boxeo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por_categoria2'!$F$4:$F$14</c:f>
            </c:numRef>
          </c:val>
          <c:extLst>
            <c:ext xmlns:c16="http://schemas.microsoft.com/office/drawing/2014/chart" uri="{C3380CC4-5D6E-409C-BE32-E72D297353CC}">
              <c16:uniqueId val="{00000000-3E4C-4981-BC40-CA4382300744}"/>
            </c:ext>
          </c:extLst>
        </c:ser>
        <c:ser>
          <c:idx val="1"/>
          <c:order val="1"/>
          <c:tx>
            <c:strRef>
              <c:f>'venta por_categoria2'!$G$1:$G$3</c:f>
              <c:strCache>
                <c:ptCount val="3"/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Cuerda de Saltar</c:v>
                </c:pt>
                <c:pt idx="1">
                  <c:v>Banda Elástica Resistencia</c:v>
                </c:pt>
                <c:pt idx="2">
                  <c:v>Esterilla de Yoga</c:v>
                </c:pt>
                <c:pt idx="3">
                  <c:v>Mancuernas 5kg (Par)</c:v>
                </c:pt>
                <c:pt idx="4">
                  <c:v>Saco de Boxeo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por_categoria2'!$G$4:$G$14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C-4981-BC40-CA4382300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36486992"/>
        <c:axId val="536484112"/>
        <c:axId val="0"/>
      </c:bar3DChart>
      <c:catAx>
        <c:axId val="5364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glow rad="139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84112"/>
        <c:crosses val="autoZero"/>
        <c:auto val="1"/>
        <c:lblAlgn val="ctr"/>
        <c:lblOffset val="100"/>
        <c:noMultiLvlLbl val="0"/>
      </c:catAx>
      <c:valAx>
        <c:axId val="536484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4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beneficio_por_canal!$Q$1</c:f>
              <c:strCache>
                <c:ptCount val="1"/>
                <c:pt idx="0">
                  <c:v>beneficio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beneficio_por_canal!$P$2:$P$4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beneficio_por_canal!$Q$2:$Q$4</c:f>
              <c:numCache>
                <c:formatCode>0</c:formatCode>
                <c:ptCount val="3"/>
                <c:pt idx="0" formatCode="0.0">
                  <c:v>274.5</c:v>
                </c:pt>
                <c:pt idx="1">
                  <c:v>495</c:v>
                </c:pt>
                <c:pt idx="2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9-4329-A284-2E1A76263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800336"/>
        <c:axId val="1950801776"/>
      </c:barChart>
      <c:catAx>
        <c:axId val="19508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1776"/>
        <c:crosses val="autoZero"/>
        <c:auto val="1"/>
        <c:lblAlgn val="ctr"/>
        <c:lblOffset val="100"/>
        <c:noMultiLvlLbl val="0"/>
      </c:catAx>
      <c:valAx>
        <c:axId val="19508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Hoja3!$J$1</c:f>
              <c:strCache>
                <c:ptCount val="1"/>
                <c:pt idx="0">
                  <c:v>unidades_totales_con_devolucion(venta_real)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Hoja3!$H$2:$H$7</c:f>
              <c:strCache>
                <c:ptCount val="6"/>
                <c:pt idx="0">
                  <c:v>Accesorios</c:v>
                </c:pt>
                <c:pt idx="1">
                  <c:v>Calzado</c:v>
                </c:pt>
                <c:pt idx="2">
                  <c:v>Deportes</c:v>
                </c:pt>
                <c:pt idx="3">
                  <c:v>Electrónica</c:v>
                </c:pt>
                <c:pt idx="4">
                  <c:v>Fitness</c:v>
                </c:pt>
                <c:pt idx="5">
                  <c:v>Ropa</c:v>
                </c:pt>
              </c:strCache>
            </c:strRef>
          </c:cat>
          <c:val>
            <c:numRef>
              <c:f>Hoja3!$J$2:$J$7</c:f>
              <c:numCache>
                <c:formatCode>General</c:formatCode>
                <c:ptCount val="6"/>
                <c:pt idx="0">
                  <c:v>17</c:v>
                </c:pt>
                <c:pt idx="1">
                  <c:v>2</c:v>
                </c:pt>
                <c:pt idx="2">
                  <c:v>15</c:v>
                </c:pt>
                <c:pt idx="3">
                  <c:v>1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D-4442-A16F-40472190F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2348720"/>
        <c:axId val="382350640"/>
      </c:barChart>
      <c:catAx>
        <c:axId val="38234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350640"/>
        <c:crosses val="autoZero"/>
        <c:auto val="1"/>
        <c:lblAlgn val="ctr"/>
        <c:lblOffset val="100"/>
        <c:noMultiLvlLbl val="0"/>
      </c:catAx>
      <c:valAx>
        <c:axId val="38235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34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Hoja4!$A$2:$A$7</c:f>
              <c:strCache>
                <c:ptCount val="6"/>
                <c:pt idx="0">
                  <c:v>Fitness</c:v>
                </c:pt>
                <c:pt idx="1">
                  <c:v>Deportes</c:v>
                </c:pt>
                <c:pt idx="2">
                  <c:v>Ropa</c:v>
                </c:pt>
                <c:pt idx="3">
                  <c:v>Accesorios</c:v>
                </c:pt>
                <c:pt idx="4">
                  <c:v>Calzado</c:v>
                </c:pt>
                <c:pt idx="5">
                  <c:v>Electrónica</c:v>
                </c:pt>
              </c:strCache>
            </c:strRef>
          </c:cat>
          <c:val>
            <c:numRef>
              <c:f>Hoja4!$B$2:$B$7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12</c:v>
                </c:pt>
                <c:pt idx="3">
                  <c:v>17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7-48DF-8F43-6957E650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6859712"/>
        <c:axId val="386860672"/>
      </c:barChart>
      <c:catAx>
        <c:axId val="3868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6860672"/>
        <c:crosses val="autoZero"/>
        <c:auto val="1"/>
        <c:lblAlgn val="ctr"/>
        <c:lblOffset val="100"/>
        <c:noMultiLvlLbl val="0"/>
      </c:catAx>
      <c:valAx>
        <c:axId val="38686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68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274320</xdr:colOff>
      <xdr:row>0</xdr:row>
      <xdr:rowOff>3810</xdr:rowOff>
    </xdr:from>
    <xdr:to>
      <xdr:col>22</xdr:col>
      <xdr:colOff>91440</xdr:colOff>
      <xdr:row>15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2D6944-5ED9-BA30-026E-C4A099BC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426720</xdr:colOff>
      <xdr:row>1</xdr:row>
      <xdr:rowOff>3810</xdr:rowOff>
    </xdr:from>
    <xdr:to>
      <xdr:col>25</xdr:col>
      <xdr:colOff>678180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25A5D-8B0D-BF6A-B448-9B242988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739140</xdr:colOff>
      <xdr:row>9</xdr:row>
      <xdr:rowOff>91446</xdr:rowOff>
    </xdr:from>
    <xdr:to>
      <xdr:col>13</xdr:col>
      <xdr:colOff>731520</xdr:colOff>
      <xdr:row>24</xdr:row>
      <xdr:rowOff>91446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5F7211-04F6-4EC9-7A34-12AC1A35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0</xdr:row>
      <xdr:rowOff>38100</xdr:rowOff>
    </xdr:from>
    <xdr:to>
      <xdr:col>13</xdr:col>
      <xdr:colOff>411480</xdr:colOff>
      <xdr:row>27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B6CE2E-6C0D-5925-B512-B6F1C76E4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A7A58F-1A04-4702-ABE0-2502DF7D761B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64AC0248-0784-4DC4-8FB5-732A33DBE82A}" autoFormatId="16" applyNumberFormats="0" applyBorderFormats="0" applyFontFormats="0" applyPatternFormats="0" applyAlignmentFormats="0" applyWidthHeightFormats="0">
  <queryTableRefresh nextId="9">
    <queryTableFields count="7">
      <queryTableField id="1" name="Producto" tableColumnId="1"/>
      <queryTableField id="2" name="Categoría" tableColumnId="2"/>
      <queryTableField id="3" name="Unidades" tableColumnId="3"/>
      <queryTableField id="4" name="Precio_Unitario" tableColumnId="4"/>
      <queryTableField id="5" name="Ingresos" tableColumnId="5"/>
      <queryTableField id="6" name="Beneficio" tableColumnId="6"/>
      <queryTableField id="7" name="Devolución" tableColumnId="7"/>
    </queryTableFields>
  </queryTableRefresh>
  <extLst>
    <ext xmlns:x15="http://schemas.microsoft.com/office/spreadsheetml/2010/11/main" uri="{883FBD77-0823-4a55-B5E3-86C4891E6966}">
      <x15:queryTable sourceDataName="Consulta - Tabla2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5A6A8B-9E75-4B84-A96F-C760D82274C1}" name="Tabla2" displayName="Tabla2" ref="A1:N42" totalsRowCount="1" headerRowDxfId="41" dataDxfId="39" headerRowBorderDxfId="40" tableBorderDxfId="38">
  <autoFilter ref="A1:N41" xr:uid="{4D5A6A8B-9E75-4B84-A96F-C760D82274C1}">
    <filterColumn colId="7">
      <filters>
        <filter val="App"/>
      </filters>
    </filterColumn>
  </autoFilter>
  <sortState xmlns:xlrd2="http://schemas.microsoft.com/office/spreadsheetml/2017/richdata2" ref="A2:N41">
    <sortCondition descending="1" ref="E1:E41"/>
  </sortState>
  <tableColumns count="14">
    <tableColumn id="1" xr3:uid="{D83FD7C5-6CD9-47E3-A1DD-4CD7C8413014}" name="ID_Venta" dataDxfId="37" totalsRowDxfId="13"/>
    <tableColumn id="2" xr3:uid="{135F53DD-A8C4-4133-963C-D1CB0DB3BFF7}" name="Fecha" dataDxfId="36" totalsRowDxfId="12"/>
    <tableColumn id="3" xr3:uid="{E48896BC-43A8-4C1F-B833-ED748C0CD2DB}" name="Producto" dataDxfId="35" totalsRowDxfId="11"/>
    <tableColumn id="4" xr3:uid="{B6789EFB-C387-4693-9984-6360E2888D17}" name="Categoría" dataDxfId="34" totalsRowDxfId="10"/>
    <tableColumn id="5" xr3:uid="{2C254DEE-0C43-4575-AEE4-42A772C0F2F8}" name="Unidades" totalsRowFunction="custom" dataDxfId="33" totalsRowDxfId="9">
      <totalsRowFormula>SUM(E2:E38)</totalsRowFormula>
    </tableColumn>
    <tableColumn id="6" xr3:uid="{07675EC1-F996-429B-9C95-BEE3B320F91A}" name="Precio_Unitario" dataDxfId="32" totalsRowDxfId="8"/>
    <tableColumn id="7" xr3:uid="{04520B3D-F8D8-4E71-9CB8-2683505612FD}" name="Ciudad" dataDxfId="31" totalsRowDxfId="7"/>
    <tableColumn id="8" xr3:uid="{B305D3C9-8700-4330-BAEA-469705ADF90B}" name="Canal" dataDxfId="30" totalsRowDxfId="6"/>
    <tableColumn id="9" xr3:uid="{91E05BCC-1DDD-402D-885D-9F4185921104}" name="Valoración" dataDxfId="29" totalsRowDxfId="5"/>
    <tableColumn id="10" xr3:uid="{8288CFED-1F88-483B-A525-74F31F41429E}" name="Ingresos" dataDxfId="28" totalsRowDxfId="4"/>
    <tableColumn id="11" xr3:uid="{09C68F08-126D-485B-A888-83D09E181F6D}" name="Coste" dataDxfId="27" totalsRowDxfId="3"/>
    <tableColumn id="12" xr3:uid="{79D77CD9-9BE3-447C-932C-1D79CED95A93}" name="Beneficio" dataDxfId="26" totalsRowDxfId="2"/>
    <tableColumn id="13" xr3:uid="{29D2A0F2-8799-41C9-A08F-2B2DA47B66B6}" name="Vendedor" dataDxfId="25" totalsRowDxfId="1"/>
    <tableColumn id="14" xr3:uid="{AFD6E93A-47E6-42D4-88DD-37F240819AA3}" name="Devolución" dataDxfId="24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7D4E0-3D9C-4ADE-8013-046E0624638F}" name="Datos" displayName="Datos" ref="A1:N41" tableType="queryTable" totalsRowShown="0">
  <autoFilter ref="A1:N41" xr:uid="{38F7D4E0-3D9C-4ADE-8013-046E0624638F}"/>
  <tableColumns count="14">
    <tableColumn id="1" xr3:uid="{88522487-38B9-40C2-B5FB-BE27AAF92ABC}" uniqueName="1" name="ID_Venta" queryTableFieldId="1"/>
    <tableColumn id="2" xr3:uid="{859E6A21-3FE8-4A9A-9259-6B8064220CCF}" uniqueName="2" name="Fecha" queryTableFieldId="2" dataDxfId="23"/>
    <tableColumn id="3" xr3:uid="{AB9B9A25-DDE7-41B0-A412-05A11ECD7BEA}" uniqueName="3" name="Producto" queryTableFieldId="3" dataDxfId="22"/>
    <tableColumn id="4" xr3:uid="{81CC157C-2B48-484F-A279-B313E6036151}" uniqueName="4" name="Categoría" queryTableFieldId="4" dataDxfId="21"/>
    <tableColumn id="5" xr3:uid="{5C428512-8207-4771-A0DD-A1F8B3B90F5C}" uniqueName="5" name="Unidades" queryTableFieldId="5"/>
    <tableColumn id="6" xr3:uid="{1D31453C-1F07-4E2A-B6A4-3FD1780BE448}" uniqueName="6" name="Precio_Unitario" queryTableFieldId="6"/>
    <tableColumn id="7" xr3:uid="{4239D047-6EF6-4DEC-9D1E-334078310A52}" uniqueName="7" name="Ciudad" queryTableFieldId="7" dataDxfId="20"/>
    <tableColumn id="8" xr3:uid="{A1DF403C-F93F-4DCD-B9C4-99AE73D5C117}" uniqueName="8" name="Canal" queryTableFieldId="8" dataDxfId="19"/>
    <tableColumn id="9" xr3:uid="{8E0D7DDB-3A4C-4C34-85DE-F16C4A211204}" uniqueName="9" name="Valoración" queryTableFieldId="9"/>
    <tableColumn id="10" xr3:uid="{35B15A89-1D16-4CBA-85A5-0245F16AC06B}" uniqueName="10" name="Ingresos" queryTableFieldId="10"/>
    <tableColumn id="11" xr3:uid="{4CF7E87A-E468-4E79-A81D-752891A924BB}" uniqueName="11" name="Coste" queryTableFieldId="11"/>
    <tableColumn id="12" xr3:uid="{C5FDA824-1BEA-4285-A41C-5F51FDA5BE10}" uniqueName="12" name="Beneficio" queryTableFieldId="12"/>
    <tableColumn id="13" xr3:uid="{2BBFFE34-429C-495C-ADCF-A1490D154CA1}" uniqueName="13" name="Vendedor" queryTableFieldId="13" dataDxfId="18"/>
    <tableColumn id="14" xr3:uid="{B32E4585-4594-4CA4-9C0D-53E03C97075F}" uniqueName="14" name="Devolución" queryTableFieldId="14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9CE8F-7CEA-406A-B17C-7455E179D63A}" name="Tabla2_2" displayName="Tabla2_2" ref="A1:G41" tableType="queryTable" totalsRowShown="0">
  <autoFilter ref="A1:G41" xr:uid="{B979CE8F-7CEA-406A-B17C-7455E179D63A}"/>
  <tableColumns count="7">
    <tableColumn id="1" xr3:uid="{F6780F06-36C2-4481-93C9-E18C627B0F9B}" uniqueName="1" name="Producto" queryTableFieldId="1" dataDxfId="16"/>
    <tableColumn id="2" xr3:uid="{8D62B42D-D44B-44F6-A796-45B430698DF1}" uniqueName="2" name="Categoría" queryTableFieldId="2" dataDxfId="15"/>
    <tableColumn id="3" xr3:uid="{2A0110B2-2974-4393-B26C-4986F5221D1D}" uniqueName="3" name="Unidades" queryTableFieldId="3"/>
    <tableColumn id="4" xr3:uid="{E91C52DA-DC7B-48F5-B3E2-E2C8BC543B10}" uniqueName="4" name="Precio_Unitario" queryTableFieldId="4"/>
    <tableColumn id="5" xr3:uid="{B224774A-66AE-47F8-995B-93FA4355FF72}" uniqueName="5" name="Ingresos" queryTableFieldId="5"/>
    <tableColumn id="6" xr3:uid="{2079A641-6FFB-4923-A143-DB87D6FB3C59}" uniqueName="6" name="Beneficio" queryTableFieldId="6"/>
    <tableColumn id="7" xr3:uid="{3CAD9309-6B56-488E-8246-489D2E5A863B}" uniqueName="7" name="Devolución" queryTableFieldId="7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zoomScaleNormal="100" workbookViewId="0">
      <pane ySplit="1" topLeftCell="A2" activePane="bottomLeft" state="frozen"/>
      <selection pane="bottomLeft" activeCell="E42" sqref="E42"/>
    </sheetView>
  </sheetViews>
  <sheetFormatPr baseColWidth="10" defaultColWidth="8.6640625" defaultRowHeight="14.4" x14ac:dyDescent="0.3"/>
  <cols>
    <col min="1" max="1" width="11.6640625" customWidth="1"/>
    <col min="2" max="2" width="12" customWidth="1"/>
    <col min="3" max="3" width="22" customWidth="1"/>
    <col min="4" max="4" width="14" customWidth="1"/>
    <col min="5" max="5" width="12" customWidth="1"/>
    <col min="6" max="6" width="17.77734375" style="3" customWidth="1"/>
    <col min="7" max="7" width="14" customWidth="1"/>
    <col min="8" max="8" width="10" customWidth="1"/>
    <col min="9" max="9" width="13.21875" customWidth="1"/>
    <col min="10" max="10" width="16" style="3" customWidth="1"/>
    <col min="11" max="12" width="14" style="3" customWidth="1"/>
    <col min="13" max="13" width="18" customWidth="1"/>
    <col min="14" max="14" width="13.88671875" customWidth="1"/>
  </cols>
  <sheetData>
    <row r="1" spans="1:14" ht="26.7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2" t="s">
        <v>12</v>
      </c>
      <c r="N1" s="12" t="s">
        <v>13</v>
      </c>
    </row>
    <row r="2" spans="1:14" ht="15" customHeight="1" x14ac:dyDescent="0.3">
      <c r="A2" s="5">
        <v>1015</v>
      </c>
      <c r="B2" s="6">
        <v>45381</v>
      </c>
      <c r="C2" s="5" t="s">
        <v>51</v>
      </c>
      <c r="D2" s="5" t="s">
        <v>37</v>
      </c>
      <c r="E2" s="5">
        <v>5</v>
      </c>
      <c r="F2" s="7">
        <v>8</v>
      </c>
      <c r="G2" s="5" t="s">
        <v>34</v>
      </c>
      <c r="H2" s="5" t="s">
        <v>28</v>
      </c>
      <c r="I2" s="5">
        <v>5</v>
      </c>
      <c r="J2" s="7">
        <v>40</v>
      </c>
      <c r="K2" s="7">
        <v>15</v>
      </c>
      <c r="L2" s="7">
        <v>25</v>
      </c>
      <c r="M2" s="5" t="s">
        <v>29</v>
      </c>
      <c r="N2" s="5" t="s">
        <v>23</v>
      </c>
    </row>
    <row r="3" spans="1:14" ht="15" hidden="1" customHeight="1" x14ac:dyDescent="0.3">
      <c r="A3" s="5">
        <v>1026</v>
      </c>
      <c r="B3" s="6">
        <v>45410</v>
      </c>
      <c r="C3" s="5" t="s">
        <v>62</v>
      </c>
      <c r="D3" s="5" t="s">
        <v>39</v>
      </c>
      <c r="E3" s="5">
        <v>5</v>
      </c>
      <c r="F3" s="7">
        <v>6</v>
      </c>
      <c r="G3" s="5" t="s">
        <v>33</v>
      </c>
      <c r="H3" s="5" t="s">
        <v>16</v>
      </c>
      <c r="I3" s="5">
        <v>4</v>
      </c>
      <c r="J3" s="7">
        <v>30</v>
      </c>
      <c r="K3" s="7">
        <v>15</v>
      </c>
      <c r="L3" s="7">
        <v>15</v>
      </c>
      <c r="M3" s="5" t="s">
        <v>22</v>
      </c>
      <c r="N3" s="5" t="s">
        <v>23</v>
      </c>
    </row>
    <row r="4" spans="1:14" ht="15" hidden="1" customHeight="1" x14ac:dyDescent="0.3">
      <c r="A4" s="5">
        <v>1013</v>
      </c>
      <c r="B4" s="6">
        <v>45378</v>
      </c>
      <c r="C4" s="5" t="s">
        <v>49</v>
      </c>
      <c r="D4" s="5" t="s">
        <v>39</v>
      </c>
      <c r="E4" s="5">
        <v>4</v>
      </c>
      <c r="F4" s="7">
        <v>20</v>
      </c>
      <c r="G4" s="5" t="s">
        <v>20</v>
      </c>
      <c r="H4" s="5" t="s">
        <v>21</v>
      </c>
      <c r="I4" s="5">
        <v>4</v>
      </c>
      <c r="J4" s="7">
        <v>80</v>
      </c>
      <c r="K4" s="7">
        <v>32</v>
      </c>
      <c r="L4" s="7">
        <v>48</v>
      </c>
      <c r="M4" s="5" t="s">
        <v>17</v>
      </c>
      <c r="N4" s="5" t="s">
        <v>23</v>
      </c>
    </row>
    <row r="5" spans="1:14" ht="15" customHeight="1" x14ac:dyDescent="0.3">
      <c r="A5" s="5">
        <v>1021</v>
      </c>
      <c r="B5" s="6">
        <v>45397</v>
      </c>
      <c r="C5" s="5" t="s">
        <v>57</v>
      </c>
      <c r="D5" s="5" t="s">
        <v>14</v>
      </c>
      <c r="E5" s="5">
        <v>4</v>
      </c>
      <c r="F5" s="7">
        <v>10</v>
      </c>
      <c r="G5" s="5" t="s">
        <v>34</v>
      </c>
      <c r="H5" s="5" t="s">
        <v>28</v>
      </c>
      <c r="I5" s="5">
        <v>5</v>
      </c>
      <c r="J5" s="7">
        <v>40</v>
      </c>
      <c r="K5" s="7">
        <v>16</v>
      </c>
      <c r="L5" s="7">
        <v>24</v>
      </c>
      <c r="M5" s="5" t="s">
        <v>22</v>
      </c>
      <c r="N5" s="5" t="s">
        <v>23</v>
      </c>
    </row>
    <row r="6" spans="1:14" ht="15" hidden="1" customHeight="1" x14ac:dyDescent="0.3">
      <c r="A6" s="5">
        <v>1008</v>
      </c>
      <c r="B6" s="6">
        <v>45366</v>
      </c>
      <c r="C6" s="5" t="s">
        <v>44</v>
      </c>
      <c r="D6" s="5" t="s">
        <v>19</v>
      </c>
      <c r="E6" s="5">
        <v>3</v>
      </c>
      <c r="F6" s="7">
        <v>15</v>
      </c>
      <c r="G6" s="5" t="s">
        <v>15</v>
      </c>
      <c r="H6" s="5" t="s">
        <v>21</v>
      </c>
      <c r="I6" s="5">
        <v>4</v>
      </c>
      <c r="J6" s="7">
        <v>45</v>
      </c>
      <c r="K6" s="7">
        <v>18</v>
      </c>
      <c r="L6" s="7">
        <v>27</v>
      </c>
      <c r="M6" s="5" t="s">
        <v>17</v>
      </c>
      <c r="N6" s="5" t="s">
        <v>23</v>
      </c>
    </row>
    <row r="7" spans="1:14" ht="15" customHeight="1" x14ac:dyDescent="0.3">
      <c r="A7" s="5">
        <v>1016</v>
      </c>
      <c r="B7" s="6">
        <v>45384</v>
      </c>
      <c r="C7" s="5" t="s">
        <v>52</v>
      </c>
      <c r="D7" s="5" t="s">
        <v>37</v>
      </c>
      <c r="E7" s="5">
        <v>3</v>
      </c>
      <c r="F7" s="7">
        <v>12</v>
      </c>
      <c r="G7" s="5" t="s">
        <v>26</v>
      </c>
      <c r="H7" s="5" t="s">
        <v>28</v>
      </c>
      <c r="I7" s="5">
        <v>5</v>
      </c>
      <c r="J7" s="7">
        <v>36</v>
      </c>
      <c r="K7" s="7">
        <v>15</v>
      </c>
      <c r="L7" s="7">
        <v>21</v>
      </c>
      <c r="M7" s="5" t="s">
        <v>22</v>
      </c>
      <c r="N7" s="5" t="s">
        <v>23</v>
      </c>
    </row>
    <row r="8" spans="1:14" ht="15" hidden="1" customHeight="1" x14ac:dyDescent="0.3">
      <c r="A8" s="5">
        <v>1027</v>
      </c>
      <c r="B8" s="6">
        <v>45414</v>
      </c>
      <c r="C8" s="5" t="s">
        <v>63</v>
      </c>
      <c r="D8" s="5" t="s">
        <v>19</v>
      </c>
      <c r="E8" s="5">
        <v>3</v>
      </c>
      <c r="F8" s="7">
        <v>12</v>
      </c>
      <c r="G8" s="5" t="s">
        <v>34</v>
      </c>
      <c r="H8" s="5" t="s">
        <v>21</v>
      </c>
      <c r="I8" s="5">
        <v>5</v>
      </c>
      <c r="J8" s="7">
        <v>36</v>
      </c>
      <c r="K8" s="7">
        <v>15</v>
      </c>
      <c r="L8" s="7">
        <v>21</v>
      </c>
      <c r="M8" s="5" t="s">
        <v>32</v>
      </c>
      <c r="N8" s="5" t="s">
        <v>23</v>
      </c>
    </row>
    <row r="9" spans="1:14" ht="15" hidden="1" customHeight="1" x14ac:dyDescent="0.3">
      <c r="A9" s="5">
        <v>1002</v>
      </c>
      <c r="B9" s="6">
        <v>45353</v>
      </c>
      <c r="C9" s="5" t="s">
        <v>36</v>
      </c>
      <c r="D9" s="5" t="s">
        <v>37</v>
      </c>
      <c r="E9" s="5">
        <v>2</v>
      </c>
      <c r="F9" s="7">
        <v>18</v>
      </c>
      <c r="G9" s="5" t="s">
        <v>31</v>
      </c>
      <c r="H9" s="5" t="s">
        <v>16</v>
      </c>
      <c r="I9" s="5">
        <v>5</v>
      </c>
      <c r="J9" s="7">
        <v>36</v>
      </c>
      <c r="K9" s="7">
        <v>14</v>
      </c>
      <c r="L9" s="7">
        <v>22</v>
      </c>
      <c r="M9" s="5" t="s">
        <v>32</v>
      </c>
      <c r="N9" s="5" t="s">
        <v>23</v>
      </c>
    </row>
    <row r="10" spans="1:14" ht="15" hidden="1" customHeight="1" x14ac:dyDescent="0.3">
      <c r="A10" s="5">
        <v>1010</v>
      </c>
      <c r="B10" s="6">
        <v>45371</v>
      </c>
      <c r="C10" s="5" t="s">
        <v>46</v>
      </c>
      <c r="D10" s="5" t="s">
        <v>19</v>
      </c>
      <c r="E10" s="5">
        <v>2</v>
      </c>
      <c r="F10" s="7">
        <v>65</v>
      </c>
      <c r="G10" s="5" t="s">
        <v>33</v>
      </c>
      <c r="H10" s="5" t="s">
        <v>21</v>
      </c>
      <c r="I10" s="5">
        <v>4</v>
      </c>
      <c r="J10" s="7">
        <v>130</v>
      </c>
      <c r="K10" s="7">
        <v>70</v>
      </c>
      <c r="L10" s="7">
        <v>60</v>
      </c>
      <c r="M10" s="5" t="s">
        <v>29</v>
      </c>
      <c r="N10" s="5" t="s">
        <v>23</v>
      </c>
    </row>
    <row r="11" spans="1:14" ht="15" hidden="1" customHeight="1" x14ac:dyDescent="0.3">
      <c r="A11" s="5">
        <v>1017</v>
      </c>
      <c r="B11" s="6">
        <v>45387</v>
      </c>
      <c r="C11" s="5" t="s">
        <v>53</v>
      </c>
      <c r="D11" s="5" t="s">
        <v>19</v>
      </c>
      <c r="E11" s="5">
        <v>2</v>
      </c>
      <c r="F11" s="7">
        <v>18</v>
      </c>
      <c r="G11" s="5" t="s">
        <v>31</v>
      </c>
      <c r="H11" s="5" t="s">
        <v>21</v>
      </c>
      <c r="I11" s="5">
        <v>4</v>
      </c>
      <c r="J11" s="7">
        <v>36</v>
      </c>
      <c r="K11" s="7">
        <v>16</v>
      </c>
      <c r="L11" s="7">
        <v>20</v>
      </c>
      <c r="M11" s="5" t="s">
        <v>32</v>
      </c>
      <c r="N11" s="5" t="s">
        <v>23</v>
      </c>
    </row>
    <row r="12" spans="1:14" ht="15" hidden="1" customHeight="1" x14ac:dyDescent="0.3">
      <c r="A12" s="5">
        <v>1023</v>
      </c>
      <c r="B12" s="6">
        <v>45402</v>
      </c>
      <c r="C12" s="5" t="s">
        <v>59</v>
      </c>
      <c r="D12" s="5" t="s">
        <v>19</v>
      </c>
      <c r="E12" s="5">
        <v>2</v>
      </c>
      <c r="F12" s="7">
        <v>15</v>
      </c>
      <c r="G12" s="5" t="s">
        <v>31</v>
      </c>
      <c r="H12" s="5" t="s">
        <v>16</v>
      </c>
      <c r="I12" s="5">
        <v>4</v>
      </c>
      <c r="J12" s="7">
        <v>30</v>
      </c>
      <c r="K12" s="7">
        <v>12</v>
      </c>
      <c r="L12" s="7">
        <v>18</v>
      </c>
      <c r="M12" s="5" t="s">
        <v>17</v>
      </c>
      <c r="N12" s="5" t="s">
        <v>23</v>
      </c>
    </row>
    <row r="13" spans="1:14" ht="15" customHeight="1" x14ac:dyDescent="0.3">
      <c r="A13" s="5">
        <v>1029</v>
      </c>
      <c r="B13" s="6">
        <v>45420</v>
      </c>
      <c r="C13" s="5" t="s">
        <v>65</v>
      </c>
      <c r="D13" s="5" t="s">
        <v>14</v>
      </c>
      <c r="E13" s="5">
        <v>2</v>
      </c>
      <c r="F13" s="7">
        <v>25</v>
      </c>
      <c r="G13" s="5" t="s">
        <v>31</v>
      </c>
      <c r="H13" s="5" t="s">
        <v>28</v>
      </c>
      <c r="I13" s="5">
        <v>5</v>
      </c>
      <c r="J13" s="7">
        <v>50</v>
      </c>
      <c r="K13" s="7">
        <v>22</v>
      </c>
      <c r="L13" s="7">
        <v>28</v>
      </c>
      <c r="M13" s="5" t="s">
        <v>25</v>
      </c>
      <c r="N13" s="5" t="s">
        <v>23</v>
      </c>
    </row>
    <row r="14" spans="1:14" ht="15" hidden="1" customHeight="1" x14ac:dyDescent="0.3">
      <c r="A14" s="5">
        <v>1031</v>
      </c>
      <c r="B14" s="6">
        <v>45424</v>
      </c>
      <c r="C14" s="5" t="s">
        <v>67</v>
      </c>
      <c r="D14" s="5" t="s">
        <v>39</v>
      </c>
      <c r="E14" s="5">
        <v>2</v>
      </c>
      <c r="F14" s="7">
        <v>8</v>
      </c>
      <c r="G14" s="5" t="s">
        <v>20</v>
      </c>
      <c r="H14" s="5" t="s">
        <v>16</v>
      </c>
      <c r="I14" s="5">
        <v>3</v>
      </c>
      <c r="J14" s="7">
        <v>16</v>
      </c>
      <c r="K14" s="7">
        <v>6</v>
      </c>
      <c r="L14" s="7">
        <v>10</v>
      </c>
      <c r="M14" s="5" t="s">
        <v>22</v>
      </c>
      <c r="N14" s="5" t="s">
        <v>23</v>
      </c>
    </row>
    <row r="15" spans="1:14" ht="15" customHeight="1" x14ac:dyDescent="0.3">
      <c r="A15" s="5">
        <v>1039</v>
      </c>
      <c r="B15" s="6">
        <v>45445</v>
      </c>
      <c r="C15" s="5" t="s">
        <v>75</v>
      </c>
      <c r="D15" s="5" t="s">
        <v>14</v>
      </c>
      <c r="E15" s="5">
        <v>2</v>
      </c>
      <c r="F15" s="7">
        <v>35</v>
      </c>
      <c r="G15" s="5" t="s">
        <v>34</v>
      </c>
      <c r="H15" s="5" t="s">
        <v>28</v>
      </c>
      <c r="I15" s="5">
        <v>4</v>
      </c>
      <c r="J15" s="7">
        <v>70</v>
      </c>
      <c r="K15" s="7">
        <v>30</v>
      </c>
      <c r="L15" s="7">
        <v>40</v>
      </c>
      <c r="M15" s="5" t="s">
        <v>25</v>
      </c>
      <c r="N15" s="5" t="s">
        <v>23</v>
      </c>
    </row>
    <row r="16" spans="1:14" ht="15" customHeight="1" x14ac:dyDescent="0.3">
      <c r="A16" s="5">
        <v>1001</v>
      </c>
      <c r="B16" s="6">
        <v>45352</v>
      </c>
      <c r="C16" s="5" t="s">
        <v>30</v>
      </c>
      <c r="D16" s="5" t="s">
        <v>19</v>
      </c>
      <c r="E16" s="5">
        <v>1</v>
      </c>
      <c r="F16" s="7">
        <v>25.5</v>
      </c>
      <c r="G16" s="5" t="s">
        <v>26</v>
      </c>
      <c r="H16" s="5" t="s">
        <v>28</v>
      </c>
      <c r="I16" s="5">
        <v>4</v>
      </c>
      <c r="J16" s="7">
        <v>25.5</v>
      </c>
      <c r="K16" s="7">
        <v>10</v>
      </c>
      <c r="L16" s="7">
        <v>15.5</v>
      </c>
      <c r="M16" s="5" t="s">
        <v>22</v>
      </c>
      <c r="N16" s="5" t="s">
        <v>23</v>
      </c>
    </row>
    <row r="17" spans="1:14" ht="15" hidden="1" customHeight="1" x14ac:dyDescent="0.3">
      <c r="A17" s="5">
        <v>1003</v>
      </c>
      <c r="B17" s="6">
        <v>45354</v>
      </c>
      <c r="C17" s="5" t="s">
        <v>38</v>
      </c>
      <c r="D17" s="5" t="s">
        <v>39</v>
      </c>
      <c r="E17" s="5">
        <v>1</v>
      </c>
      <c r="F17" s="7">
        <v>85</v>
      </c>
      <c r="G17" s="5" t="s">
        <v>15</v>
      </c>
      <c r="H17" s="5" t="s">
        <v>21</v>
      </c>
      <c r="I17" s="5">
        <v>4</v>
      </c>
      <c r="J17" s="7">
        <v>85</v>
      </c>
      <c r="K17" s="7">
        <v>45</v>
      </c>
      <c r="L17" s="7">
        <v>40</v>
      </c>
      <c r="M17" s="5" t="s">
        <v>17</v>
      </c>
      <c r="N17" s="5" t="s">
        <v>23</v>
      </c>
    </row>
    <row r="18" spans="1:14" ht="15" hidden="1" customHeight="1" x14ac:dyDescent="0.3">
      <c r="A18" s="5">
        <v>1004</v>
      </c>
      <c r="B18" s="6">
        <v>45356</v>
      </c>
      <c r="C18" s="5" t="s">
        <v>40</v>
      </c>
      <c r="D18" s="5" t="s">
        <v>24</v>
      </c>
      <c r="E18" s="5">
        <v>1</v>
      </c>
      <c r="F18" s="7">
        <v>110</v>
      </c>
      <c r="G18" s="5" t="s">
        <v>20</v>
      </c>
      <c r="H18" s="5" t="s">
        <v>16</v>
      </c>
      <c r="I18" s="5">
        <v>5</v>
      </c>
      <c r="J18" s="7">
        <v>110</v>
      </c>
      <c r="K18" s="7">
        <v>60</v>
      </c>
      <c r="L18" s="7">
        <v>50</v>
      </c>
      <c r="M18" s="5" t="s">
        <v>25</v>
      </c>
      <c r="N18" s="5" t="s">
        <v>18</v>
      </c>
    </row>
    <row r="19" spans="1:14" ht="15" hidden="1" customHeight="1" x14ac:dyDescent="0.3">
      <c r="A19" s="5">
        <v>1005</v>
      </c>
      <c r="B19" s="6">
        <v>45358</v>
      </c>
      <c r="C19" s="5" t="s">
        <v>41</v>
      </c>
      <c r="D19" s="5" t="s">
        <v>37</v>
      </c>
      <c r="E19" s="5">
        <v>1</v>
      </c>
      <c r="F19" s="7">
        <v>35</v>
      </c>
      <c r="G19" s="5" t="s">
        <v>33</v>
      </c>
      <c r="H19" s="5" t="s">
        <v>21</v>
      </c>
      <c r="I19" s="5">
        <v>4</v>
      </c>
      <c r="J19" s="7">
        <v>35</v>
      </c>
      <c r="K19" s="7">
        <v>15</v>
      </c>
      <c r="L19" s="7">
        <v>20</v>
      </c>
      <c r="M19" s="5" t="s">
        <v>29</v>
      </c>
      <c r="N19" s="5" t="s">
        <v>23</v>
      </c>
    </row>
    <row r="20" spans="1:14" ht="15" hidden="1" customHeight="1" x14ac:dyDescent="0.3">
      <c r="A20" s="5">
        <v>1006</v>
      </c>
      <c r="B20" s="6">
        <v>45361</v>
      </c>
      <c r="C20" s="5" t="s">
        <v>42</v>
      </c>
      <c r="D20" s="5" t="s">
        <v>27</v>
      </c>
      <c r="E20" s="5">
        <v>1</v>
      </c>
      <c r="F20" s="7">
        <v>250</v>
      </c>
      <c r="G20" s="5" t="s">
        <v>26</v>
      </c>
      <c r="H20" s="5" t="s">
        <v>16</v>
      </c>
      <c r="I20" s="5">
        <v>5</v>
      </c>
      <c r="J20" s="7">
        <v>250</v>
      </c>
      <c r="K20" s="7">
        <v>180</v>
      </c>
      <c r="L20" s="7">
        <v>70</v>
      </c>
      <c r="M20" s="5" t="s">
        <v>22</v>
      </c>
      <c r="N20" s="5" t="s">
        <v>23</v>
      </c>
    </row>
    <row r="21" spans="1:14" ht="15" customHeight="1" x14ac:dyDescent="0.3">
      <c r="A21" s="5">
        <v>1007</v>
      </c>
      <c r="B21" s="6">
        <v>45363</v>
      </c>
      <c r="C21" s="5" t="s">
        <v>43</v>
      </c>
      <c r="D21" s="5" t="s">
        <v>19</v>
      </c>
      <c r="E21" s="5">
        <v>1</v>
      </c>
      <c r="F21" s="7">
        <v>45</v>
      </c>
      <c r="G21" s="5" t="s">
        <v>31</v>
      </c>
      <c r="H21" s="5" t="s">
        <v>28</v>
      </c>
      <c r="I21" s="5">
        <v>3</v>
      </c>
      <c r="J21" s="7">
        <v>45</v>
      </c>
      <c r="K21" s="7">
        <v>20</v>
      </c>
      <c r="L21" s="7">
        <v>25</v>
      </c>
      <c r="M21" s="5" t="s">
        <v>32</v>
      </c>
      <c r="N21" s="5" t="s">
        <v>23</v>
      </c>
    </row>
    <row r="22" spans="1:14" ht="15" hidden="1" customHeight="1" x14ac:dyDescent="0.3">
      <c r="A22" s="5">
        <v>1009</v>
      </c>
      <c r="B22" s="6">
        <v>45369</v>
      </c>
      <c r="C22" s="5" t="s">
        <v>45</v>
      </c>
      <c r="D22" s="5" t="s">
        <v>37</v>
      </c>
      <c r="E22" s="5">
        <v>1</v>
      </c>
      <c r="F22" s="7">
        <v>90</v>
      </c>
      <c r="G22" s="5" t="s">
        <v>34</v>
      </c>
      <c r="H22" s="5" t="s">
        <v>16</v>
      </c>
      <c r="I22" s="5">
        <v>5</v>
      </c>
      <c r="J22" s="7">
        <v>90</v>
      </c>
      <c r="K22" s="7">
        <v>50</v>
      </c>
      <c r="L22" s="7">
        <v>40</v>
      </c>
      <c r="M22" s="5" t="s">
        <v>25</v>
      </c>
      <c r="N22" s="5" t="s">
        <v>23</v>
      </c>
    </row>
    <row r="23" spans="1:14" ht="15" customHeight="1" x14ac:dyDescent="0.3">
      <c r="A23" s="5">
        <v>1011</v>
      </c>
      <c r="B23" s="6">
        <v>45373</v>
      </c>
      <c r="C23" s="5" t="s">
        <v>47</v>
      </c>
      <c r="D23" s="5" t="s">
        <v>14</v>
      </c>
      <c r="E23" s="5">
        <v>1</v>
      </c>
      <c r="F23" s="7">
        <v>28</v>
      </c>
      <c r="G23" s="5" t="s">
        <v>26</v>
      </c>
      <c r="H23" s="5" t="s">
        <v>28</v>
      </c>
      <c r="I23" s="5">
        <v>5</v>
      </c>
      <c r="J23" s="7">
        <v>28</v>
      </c>
      <c r="K23" s="7">
        <v>12</v>
      </c>
      <c r="L23" s="3">
        <v>30</v>
      </c>
      <c r="M23" s="5" t="s">
        <v>22</v>
      </c>
      <c r="N23" s="5" t="s">
        <v>23</v>
      </c>
    </row>
    <row r="24" spans="1:14" ht="15" hidden="1" customHeight="1" x14ac:dyDescent="0.3">
      <c r="A24" s="5">
        <v>1012</v>
      </c>
      <c r="B24" s="6">
        <v>45376</v>
      </c>
      <c r="C24" s="5" t="s">
        <v>48</v>
      </c>
      <c r="D24" s="5" t="s">
        <v>27</v>
      </c>
      <c r="E24" s="5">
        <v>1</v>
      </c>
      <c r="F24" s="7">
        <v>55</v>
      </c>
      <c r="G24" s="5" t="s">
        <v>31</v>
      </c>
      <c r="H24" s="5" t="s">
        <v>16</v>
      </c>
      <c r="I24" s="5">
        <v>2</v>
      </c>
      <c r="J24" s="7">
        <v>55</v>
      </c>
      <c r="K24" s="7">
        <v>25</v>
      </c>
      <c r="L24" s="7">
        <v>30</v>
      </c>
      <c r="M24" s="5" t="s">
        <v>32</v>
      </c>
      <c r="N24" s="5" t="s">
        <v>18</v>
      </c>
    </row>
    <row r="25" spans="1:14" ht="15" hidden="1" customHeight="1" x14ac:dyDescent="0.3">
      <c r="A25" s="5">
        <v>1014</v>
      </c>
      <c r="B25" s="6">
        <v>45380</v>
      </c>
      <c r="C25" s="5" t="s">
        <v>50</v>
      </c>
      <c r="D25" s="5" t="s">
        <v>14</v>
      </c>
      <c r="E25" s="5">
        <v>1</v>
      </c>
      <c r="F25" s="7">
        <v>42</v>
      </c>
      <c r="G25" s="5" t="s">
        <v>15</v>
      </c>
      <c r="H25" s="5" t="s">
        <v>16</v>
      </c>
      <c r="I25" s="5">
        <v>4</v>
      </c>
      <c r="J25" s="7">
        <v>42</v>
      </c>
      <c r="K25" s="7">
        <v>18</v>
      </c>
      <c r="L25" s="7">
        <v>24</v>
      </c>
      <c r="M25" s="5" t="s">
        <v>25</v>
      </c>
      <c r="N25" s="5" t="s">
        <v>23</v>
      </c>
    </row>
    <row r="26" spans="1:14" ht="15" hidden="1" customHeight="1" x14ac:dyDescent="0.3">
      <c r="A26" s="5">
        <v>1018</v>
      </c>
      <c r="B26" s="6">
        <v>45390</v>
      </c>
      <c r="C26" s="5" t="s">
        <v>54</v>
      </c>
      <c r="D26" s="5" t="s">
        <v>24</v>
      </c>
      <c r="E26" s="5">
        <v>1</v>
      </c>
      <c r="F26" s="7">
        <v>95</v>
      </c>
      <c r="G26" s="5" t="s">
        <v>15</v>
      </c>
      <c r="H26" s="5" t="s">
        <v>16</v>
      </c>
      <c r="I26" s="5">
        <v>4</v>
      </c>
      <c r="J26" s="7">
        <v>95</v>
      </c>
      <c r="K26" s="7">
        <v>55</v>
      </c>
      <c r="L26" s="7">
        <v>40</v>
      </c>
      <c r="M26" s="5" t="s">
        <v>17</v>
      </c>
      <c r="N26" s="5" t="s">
        <v>23</v>
      </c>
    </row>
    <row r="27" spans="1:14" ht="15" hidden="1" customHeight="1" x14ac:dyDescent="0.3">
      <c r="A27" s="5">
        <v>1019</v>
      </c>
      <c r="B27" s="6">
        <v>45392</v>
      </c>
      <c r="C27" s="5" t="s">
        <v>55</v>
      </c>
      <c r="D27" s="5" t="s">
        <v>14</v>
      </c>
      <c r="E27" s="5">
        <v>1</v>
      </c>
      <c r="F27" s="7">
        <v>45</v>
      </c>
      <c r="G27" s="5" t="s">
        <v>20</v>
      </c>
      <c r="H27" s="5" t="s">
        <v>21</v>
      </c>
      <c r="I27" s="5">
        <v>5</v>
      </c>
      <c r="J27" s="7">
        <v>45</v>
      </c>
      <c r="K27" s="7">
        <v>20</v>
      </c>
      <c r="L27" s="7">
        <v>25</v>
      </c>
      <c r="M27" s="5" t="s">
        <v>25</v>
      </c>
      <c r="N27" s="5" t="s">
        <v>23</v>
      </c>
    </row>
    <row r="28" spans="1:14" ht="15" hidden="1" customHeight="1" x14ac:dyDescent="0.3">
      <c r="A28" s="5">
        <v>1020</v>
      </c>
      <c r="B28" s="6">
        <v>45394</v>
      </c>
      <c r="C28" s="5" t="s">
        <v>56</v>
      </c>
      <c r="D28" s="5" t="s">
        <v>27</v>
      </c>
      <c r="E28" s="5">
        <v>1</v>
      </c>
      <c r="F28" s="7">
        <v>60</v>
      </c>
      <c r="G28" s="5" t="s">
        <v>33</v>
      </c>
      <c r="H28" s="5" t="s">
        <v>16</v>
      </c>
      <c r="I28" s="5">
        <v>3</v>
      </c>
      <c r="J28" s="7">
        <v>60</v>
      </c>
      <c r="K28" s="7">
        <v>35</v>
      </c>
      <c r="L28" s="7">
        <v>25</v>
      </c>
      <c r="M28" s="5" t="s">
        <v>29</v>
      </c>
      <c r="N28" s="5" t="s">
        <v>18</v>
      </c>
    </row>
    <row r="29" spans="1:14" ht="15" hidden="1" customHeight="1" x14ac:dyDescent="0.3">
      <c r="A29" s="5">
        <v>1022</v>
      </c>
      <c r="B29" s="6">
        <v>45399</v>
      </c>
      <c r="C29" s="5" t="s">
        <v>58</v>
      </c>
      <c r="D29" s="5" t="s">
        <v>19</v>
      </c>
      <c r="E29" s="5">
        <v>1</v>
      </c>
      <c r="F29" s="7">
        <v>35</v>
      </c>
      <c r="G29" s="5" t="s">
        <v>26</v>
      </c>
      <c r="H29" s="5" t="s">
        <v>21</v>
      </c>
      <c r="I29" s="5">
        <v>4</v>
      </c>
      <c r="J29" s="7">
        <v>35</v>
      </c>
      <c r="K29" s="7">
        <v>15</v>
      </c>
      <c r="L29" s="7">
        <v>20</v>
      </c>
      <c r="M29" s="5" t="s">
        <v>32</v>
      </c>
      <c r="N29" s="5" t="s">
        <v>23</v>
      </c>
    </row>
    <row r="30" spans="1:14" ht="15" customHeight="1" x14ac:dyDescent="0.3">
      <c r="A30" s="5">
        <v>1024</v>
      </c>
      <c r="B30" s="6">
        <v>45404</v>
      </c>
      <c r="C30" s="5" t="s">
        <v>60</v>
      </c>
      <c r="D30" s="5" t="s">
        <v>37</v>
      </c>
      <c r="E30" s="5">
        <v>1</v>
      </c>
      <c r="F30" s="7">
        <v>18</v>
      </c>
      <c r="G30" s="5" t="s">
        <v>15</v>
      </c>
      <c r="H30" s="5" t="s">
        <v>28</v>
      </c>
      <c r="I30" s="5">
        <v>3</v>
      </c>
      <c r="J30" s="7">
        <v>18</v>
      </c>
      <c r="K30" s="7">
        <v>8</v>
      </c>
      <c r="L30" s="7">
        <v>10</v>
      </c>
      <c r="M30" s="5" t="s">
        <v>25</v>
      </c>
      <c r="N30" s="5" t="s">
        <v>23</v>
      </c>
    </row>
    <row r="31" spans="1:14" ht="15" hidden="1" customHeight="1" x14ac:dyDescent="0.3">
      <c r="A31" s="5">
        <v>1025</v>
      </c>
      <c r="B31" s="6">
        <v>45407</v>
      </c>
      <c r="C31" s="5" t="s">
        <v>61</v>
      </c>
      <c r="D31" s="5" t="s">
        <v>39</v>
      </c>
      <c r="E31" s="5">
        <v>1</v>
      </c>
      <c r="F31" s="7">
        <v>120</v>
      </c>
      <c r="G31" s="5" t="s">
        <v>20</v>
      </c>
      <c r="H31" s="5" t="s">
        <v>21</v>
      </c>
      <c r="I31" s="5">
        <v>5</v>
      </c>
      <c r="J31" s="7">
        <v>120</v>
      </c>
      <c r="K31" s="7">
        <v>70</v>
      </c>
      <c r="L31" s="7">
        <v>50</v>
      </c>
      <c r="M31" s="5" t="s">
        <v>29</v>
      </c>
      <c r="N31" s="5" t="s">
        <v>23</v>
      </c>
    </row>
    <row r="32" spans="1:14" ht="15" hidden="1" customHeight="1" x14ac:dyDescent="0.3">
      <c r="A32" s="5">
        <v>1028</v>
      </c>
      <c r="B32" s="6">
        <v>45417</v>
      </c>
      <c r="C32" s="5" t="s">
        <v>64</v>
      </c>
      <c r="D32" s="5" t="s">
        <v>14</v>
      </c>
      <c r="E32" s="5">
        <v>1</v>
      </c>
      <c r="F32" s="7">
        <v>30</v>
      </c>
      <c r="G32" s="5" t="s">
        <v>26</v>
      </c>
      <c r="H32" s="5" t="s">
        <v>16</v>
      </c>
      <c r="I32" s="5">
        <v>4</v>
      </c>
      <c r="J32" s="7">
        <v>30</v>
      </c>
      <c r="K32" s="7">
        <v>14</v>
      </c>
      <c r="L32" s="7">
        <v>16</v>
      </c>
      <c r="M32" s="5" t="s">
        <v>17</v>
      </c>
      <c r="N32" s="5" t="s">
        <v>18</v>
      </c>
    </row>
    <row r="33" spans="1:14" ht="15" hidden="1" customHeight="1" x14ac:dyDescent="0.3">
      <c r="A33" s="5">
        <v>1030</v>
      </c>
      <c r="B33" s="6">
        <v>45422</v>
      </c>
      <c r="C33" s="5" t="s">
        <v>66</v>
      </c>
      <c r="D33" s="5" t="s">
        <v>19</v>
      </c>
      <c r="E33" s="5">
        <v>1</v>
      </c>
      <c r="F33" s="7">
        <v>22</v>
      </c>
      <c r="G33" s="5" t="s">
        <v>15</v>
      </c>
      <c r="H33" s="5" t="s">
        <v>21</v>
      </c>
      <c r="I33" s="5">
        <v>4</v>
      </c>
      <c r="J33" s="7">
        <v>22</v>
      </c>
      <c r="K33" s="7">
        <v>10</v>
      </c>
      <c r="L33" s="7">
        <v>12</v>
      </c>
      <c r="M33" s="5" t="s">
        <v>29</v>
      </c>
      <c r="N33" s="5" t="s">
        <v>23</v>
      </c>
    </row>
    <row r="34" spans="1:14" ht="15" customHeight="1" x14ac:dyDescent="0.3">
      <c r="A34" s="5">
        <v>1032</v>
      </c>
      <c r="B34" s="6">
        <v>45427</v>
      </c>
      <c r="C34" s="5" t="s">
        <v>68</v>
      </c>
      <c r="D34" s="5" t="s">
        <v>37</v>
      </c>
      <c r="E34" s="5">
        <v>1</v>
      </c>
      <c r="F34" s="7">
        <v>28</v>
      </c>
      <c r="G34" s="5" t="s">
        <v>33</v>
      </c>
      <c r="H34" s="5" t="s">
        <v>28</v>
      </c>
      <c r="I34" s="5">
        <v>4</v>
      </c>
      <c r="J34" s="7">
        <v>28</v>
      </c>
      <c r="K34" s="7">
        <v>12</v>
      </c>
      <c r="L34" s="7">
        <v>16</v>
      </c>
      <c r="M34" s="5" t="s">
        <v>32</v>
      </c>
      <c r="N34" s="5" t="s">
        <v>23</v>
      </c>
    </row>
    <row r="35" spans="1:14" ht="15" hidden="1" customHeight="1" x14ac:dyDescent="0.3">
      <c r="A35" s="5">
        <v>1033</v>
      </c>
      <c r="B35" s="6">
        <v>45430</v>
      </c>
      <c r="C35" s="5" t="s">
        <v>69</v>
      </c>
      <c r="D35" s="5" t="s">
        <v>37</v>
      </c>
      <c r="E35" s="5">
        <v>1</v>
      </c>
      <c r="F35" s="7">
        <v>20</v>
      </c>
      <c r="G35" s="5" t="s">
        <v>34</v>
      </c>
      <c r="H35" s="5" t="s">
        <v>21</v>
      </c>
      <c r="I35" s="5">
        <v>5</v>
      </c>
      <c r="J35" s="7">
        <v>20</v>
      </c>
      <c r="K35" s="7">
        <v>9</v>
      </c>
      <c r="L35" s="7">
        <v>11</v>
      </c>
      <c r="M35" s="5" t="s">
        <v>17</v>
      </c>
      <c r="N35" s="5" t="s">
        <v>23</v>
      </c>
    </row>
    <row r="36" spans="1:14" ht="15" hidden="1" customHeight="1" x14ac:dyDescent="0.3">
      <c r="A36" s="5">
        <v>1034</v>
      </c>
      <c r="B36" s="6">
        <v>45432</v>
      </c>
      <c r="C36" s="5" t="s">
        <v>70</v>
      </c>
      <c r="D36" s="5" t="s">
        <v>39</v>
      </c>
      <c r="E36" s="5">
        <v>1</v>
      </c>
      <c r="F36" s="7">
        <v>150</v>
      </c>
      <c r="G36" s="5" t="s">
        <v>26</v>
      </c>
      <c r="H36" s="5" t="s">
        <v>16</v>
      </c>
      <c r="I36" s="5">
        <v>4</v>
      </c>
      <c r="J36" s="7">
        <v>150</v>
      </c>
      <c r="K36" s="7">
        <v>90</v>
      </c>
      <c r="L36" s="7">
        <v>60</v>
      </c>
      <c r="M36" s="5" t="s">
        <v>25</v>
      </c>
      <c r="N36" s="5" t="s">
        <v>23</v>
      </c>
    </row>
    <row r="37" spans="1:14" ht="15" hidden="1" customHeight="1" x14ac:dyDescent="0.3">
      <c r="A37" s="5">
        <v>1035</v>
      </c>
      <c r="B37" s="6">
        <v>45434</v>
      </c>
      <c r="C37" s="5" t="s">
        <v>71</v>
      </c>
      <c r="D37" s="5" t="s">
        <v>39</v>
      </c>
      <c r="E37" s="5">
        <v>1</v>
      </c>
      <c r="F37" s="7">
        <v>300</v>
      </c>
      <c r="G37" s="5" t="s">
        <v>31</v>
      </c>
      <c r="H37" s="5" t="s">
        <v>21</v>
      </c>
      <c r="I37" s="5">
        <v>5</v>
      </c>
      <c r="J37" s="7">
        <v>300</v>
      </c>
      <c r="K37" s="7">
        <v>180</v>
      </c>
      <c r="L37" s="7">
        <v>120</v>
      </c>
      <c r="M37" s="5" t="s">
        <v>29</v>
      </c>
      <c r="N37" s="5" t="s">
        <v>23</v>
      </c>
    </row>
    <row r="38" spans="1:14" ht="15" customHeight="1" x14ac:dyDescent="0.3">
      <c r="A38" s="5">
        <v>1036</v>
      </c>
      <c r="B38" s="6">
        <v>45437</v>
      </c>
      <c r="C38" s="5" t="s">
        <v>72</v>
      </c>
      <c r="D38" s="5" t="s">
        <v>19</v>
      </c>
      <c r="E38" s="5">
        <v>1</v>
      </c>
      <c r="F38" s="7">
        <v>85</v>
      </c>
      <c r="G38" s="5" t="s">
        <v>15</v>
      </c>
      <c r="H38" s="5" t="s">
        <v>28</v>
      </c>
      <c r="I38" s="5">
        <v>4</v>
      </c>
      <c r="J38" s="7">
        <v>85</v>
      </c>
      <c r="K38" s="7">
        <v>45</v>
      </c>
      <c r="L38" s="7">
        <v>40</v>
      </c>
      <c r="M38" s="5" t="s">
        <v>22</v>
      </c>
      <c r="N38" s="5" t="s">
        <v>23</v>
      </c>
    </row>
    <row r="39" spans="1:14" ht="15" hidden="1" customHeight="1" x14ac:dyDescent="0.3">
      <c r="A39" s="5">
        <v>1037</v>
      </c>
      <c r="B39" s="6">
        <v>45440</v>
      </c>
      <c r="C39" s="5" t="s">
        <v>73</v>
      </c>
      <c r="D39" s="5" t="s">
        <v>19</v>
      </c>
      <c r="E39" s="5">
        <v>1</v>
      </c>
      <c r="F39" s="7">
        <v>50</v>
      </c>
      <c r="G39" s="5" t="s">
        <v>20</v>
      </c>
      <c r="H39" s="5" t="s">
        <v>16</v>
      </c>
      <c r="I39" s="5">
        <v>4</v>
      </c>
      <c r="J39" s="7">
        <v>50</v>
      </c>
      <c r="K39" s="7">
        <v>25</v>
      </c>
      <c r="L39" s="7">
        <v>25</v>
      </c>
      <c r="M39" s="5" t="s">
        <v>32</v>
      </c>
      <c r="N39" s="5" t="s">
        <v>18</v>
      </c>
    </row>
    <row r="40" spans="1:14" ht="15" hidden="1" customHeight="1" x14ac:dyDescent="0.3">
      <c r="A40" s="5">
        <v>1038</v>
      </c>
      <c r="B40" s="6">
        <v>45442</v>
      </c>
      <c r="C40" s="5" t="s">
        <v>74</v>
      </c>
      <c r="D40" s="5" t="s">
        <v>14</v>
      </c>
      <c r="E40" s="5">
        <v>1</v>
      </c>
      <c r="F40" s="7">
        <v>40</v>
      </c>
      <c r="G40" s="5" t="s">
        <v>33</v>
      </c>
      <c r="H40" s="5" t="s">
        <v>21</v>
      </c>
      <c r="I40" s="5">
        <v>5</v>
      </c>
      <c r="J40" s="7">
        <v>40</v>
      </c>
      <c r="K40" s="7">
        <v>18</v>
      </c>
      <c r="L40" s="7">
        <v>22</v>
      </c>
      <c r="M40" s="5" t="s">
        <v>17</v>
      </c>
      <c r="N40" s="5" t="s">
        <v>23</v>
      </c>
    </row>
    <row r="41" spans="1:14" ht="15" hidden="1" customHeight="1" x14ac:dyDescent="0.3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  <row r="42" spans="1:14" x14ac:dyDescent="0.3">
      <c r="A42" s="5"/>
      <c r="B42" s="6"/>
      <c r="C42" s="5"/>
      <c r="D42" s="5"/>
      <c r="E42" s="5">
        <f>SUM(E2:E38)</f>
        <v>64</v>
      </c>
      <c r="F42" s="7"/>
      <c r="G42" s="5"/>
      <c r="H42" s="5"/>
      <c r="I42" s="5"/>
      <c r="J42" s="7"/>
      <c r="K42" s="7"/>
      <c r="L42" s="7"/>
      <c r="M42" s="5"/>
      <c r="N42" s="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Normal="100" workbookViewId="0">
      <selection activeCell="C8" sqref="C8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4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Bote Pelotas Pádel (Pack 3)</v>
      </c>
      <c r="B3" t="str">
        <v>Deportes</v>
      </c>
      <c r="C3">
        <v>5</v>
      </c>
      <c r="D3">
        <v>30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Muñequeras de Pádel</v>
      </c>
      <c r="B5" t="str">
        <v>Deportes</v>
      </c>
      <c r="C5">
        <v>2</v>
      </c>
      <c r="D5">
        <v>16</v>
      </c>
    </row>
    <row r="6" spans="1:4" x14ac:dyDescent="0.3">
      <c r="A6" t="str">
        <v>Raqueta de Pádel</v>
      </c>
      <c r="B6" t="str">
        <v>Deportes</v>
      </c>
      <c r="C6">
        <v>1</v>
      </c>
      <c r="D6">
        <v>85</v>
      </c>
    </row>
    <row r="7" spans="1:4" x14ac:dyDescent="0.3">
      <c r="A7" t="str">
        <v>Raqueta de Tenis</v>
      </c>
      <c r="B7" t="str">
        <v>Deportes</v>
      </c>
      <c r="C7">
        <v>1</v>
      </c>
      <c r="D7">
        <v>120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1"/>
  <sheetViews>
    <sheetView zoomScaleNormal="100" workbookViewId="0">
      <selection activeCell="AD23" sqref="AD23"/>
    </sheetView>
  </sheetViews>
  <sheetFormatPr baseColWidth="10" defaultRowHeight="14.4" x14ac:dyDescent="0.3"/>
  <cols>
    <col min="3" max="3" width="17.109375" hidden="1" customWidth="1"/>
    <col min="4" max="4" width="0" hidden="1" customWidth="1"/>
    <col min="5" max="5" width="29.77734375" customWidth="1"/>
    <col min="6" max="6" width="0" hidden="1" customWidth="1"/>
    <col min="8" max="16" width="0" hidden="1" customWidth="1"/>
  </cols>
  <sheetData>
    <row r="1" spans="1:16" x14ac:dyDescent="0.3">
      <c r="A1" s="4" t="s">
        <v>35</v>
      </c>
      <c r="B1" t="s">
        <v>37</v>
      </c>
    </row>
    <row r="4" spans="1:16" x14ac:dyDescent="0.3">
      <c r="C4" cm="1">
        <f t="array" ref="C4:P11">_xlfn._xlws.FILTER(Datos!A:N,Datos!D:D='venta por_categoria2'!B1)</f>
        <v>1015</v>
      </c>
      <c r="D4">
        <v>45381</v>
      </c>
      <c r="E4" t="str">
        <v>Cuerda de Saltar</v>
      </c>
      <c r="F4" t="str">
        <v>Fitness</v>
      </c>
      <c r="G4">
        <v>5</v>
      </c>
      <c r="H4">
        <v>8</v>
      </c>
      <c r="I4" t="str">
        <v>Málaga</v>
      </c>
      <c r="J4" t="str">
        <v>App</v>
      </c>
      <c r="K4">
        <v>5</v>
      </c>
      <c r="L4">
        <v>40</v>
      </c>
      <c r="M4">
        <v>15</v>
      </c>
      <c r="N4">
        <v>25</v>
      </c>
      <c r="O4" t="str">
        <v>Marta Fernández</v>
      </c>
      <c r="P4" t="str">
        <v>No</v>
      </c>
    </row>
    <row r="5" spans="1:16" x14ac:dyDescent="0.3">
      <c r="C5">
        <v>1016</v>
      </c>
      <c r="D5">
        <v>45384</v>
      </c>
      <c r="E5" t="str">
        <v>Banda Elástica Resistencia</v>
      </c>
      <c r="F5" t="str">
        <v>Fitness</v>
      </c>
      <c r="G5">
        <v>3</v>
      </c>
      <c r="H5">
        <v>12</v>
      </c>
      <c r="I5" t="str">
        <v>Madrid</v>
      </c>
      <c r="J5" t="str">
        <v>App</v>
      </c>
      <c r="K5">
        <v>5</v>
      </c>
      <c r="L5">
        <v>36</v>
      </c>
      <c r="M5">
        <v>15</v>
      </c>
      <c r="N5">
        <v>21</v>
      </c>
      <c r="O5" t="str">
        <v>Ana García</v>
      </c>
      <c r="P5" t="str">
        <v>No</v>
      </c>
    </row>
    <row r="6" spans="1:16" x14ac:dyDescent="0.3">
      <c r="C6">
        <v>1002</v>
      </c>
      <c r="D6">
        <v>45353</v>
      </c>
      <c r="E6" t="str">
        <v>Esterilla de Yoga</v>
      </c>
      <c r="F6" t="str">
        <v>Fitness</v>
      </c>
      <c r="G6">
        <v>2</v>
      </c>
      <c r="H6">
        <v>18</v>
      </c>
      <c r="I6" t="str">
        <v>Barcelona</v>
      </c>
      <c r="J6" t="str">
        <v>Web</v>
      </c>
      <c r="K6">
        <v>5</v>
      </c>
      <c r="L6">
        <v>36</v>
      </c>
      <c r="M6">
        <v>14</v>
      </c>
      <c r="N6">
        <v>22</v>
      </c>
      <c r="O6" t="str">
        <v>David Ruiz</v>
      </c>
      <c r="P6" t="str">
        <v>No</v>
      </c>
    </row>
    <row r="7" spans="1:16" x14ac:dyDescent="0.3">
      <c r="C7">
        <v>1005</v>
      </c>
      <c r="D7">
        <v>45358</v>
      </c>
      <c r="E7" t="str">
        <v>Mancuernas 5kg (Par)</v>
      </c>
      <c r="F7" t="str">
        <v>Fitness</v>
      </c>
      <c r="G7">
        <v>1</v>
      </c>
      <c r="H7">
        <v>35</v>
      </c>
      <c r="I7" t="str">
        <v>Bilbao</v>
      </c>
      <c r="J7" t="str">
        <v>Tienda</v>
      </c>
      <c r="K7">
        <v>4</v>
      </c>
      <c r="L7">
        <v>35</v>
      </c>
      <c r="M7">
        <v>15</v>
      </c>
      <c r="N7">
        <v>20</v>
      </c>
      <c r="O7" t="str">
        <v>Marta Fernández</v>
      </c>
      <c r="P7" t="str">
        <v>No</v>
      </c>
    </row>
    <row r="8" spans="1:16" x14ac:dyDescent="0.3">
      <c r="C8">
        <v>1009</v>
      </c>
      <c r="D8">
        <v>45369</v>
      </c>
      <c r="E8" t="str">
        <v>Saco de Boxeo</v>
      </c>
      <c r="F8" t="str">
        <v>Fitness</v>
      </c>
      <c r="G8">
        <v>1</v>
      </c>
      <c r="H8">
        <v>90</v>
      </c>
      <c r="I8" t="str">
        <v>Málaga</v>
      </c>
      <c r="J8" t="str">
        <v>Web</v>
      </c>
      <c r="K8">
        <v>5</v>
      </c>
      <c r="L8">
        <v>90</v>
      </c>
      <c r="M8">
        <v>50</v>
      </c>
      <c r="N8">
        <v>40</v>
      </c>
      <c r="O8" t="str">
        <v>Laura Martínez</v>
      </c>
      <c r="P8" t="str">
        <v>No</v>
      </c>
    </row>
    <row r="9" spans="1:16" x14ac:dyDescent="0.3">
      <c r="C9">
        <v>1024</v>
      </c>
      <c r="D9">
        <v>45404</v>
      </c>
      <c r="E9" t="str">
        <v>Guantes de Gimnasio</v>
      </c>
      <c r="F9" t="str">
        <v>Fitness</v>
      </c>
      <c r="G9">
        <v>1</v>
      </c>
      <c r="H9">
        <v>18</v>
      </c>
      <c r="I9" t="str">
        <v>Valencia</v>
      </c>
      <c r="J9" t="str">
        <v>App</v>
      </c>
      <c r="K9">
        <v>3</v>
      </c>
      <c r="L9">
        <v>18</v>
      </c>
      <c r="M9">
        <v>8</v>
      </c>
      <c r="N9">
        <v>10</v>
      </c>
      <c r="O9" t="str">
        <v>Laura Martínez</v>
      </c>
      <c r="P9" t="str">
        <v>No</v>
      </c>
    </row>
    <row r="10" spans="1:16" x14ac:dyDescent="0.3">
      <c r="C10">
        <v>1032</v>
      </c>
      <c r="D10">
        <v>45427</v>
      </c>
      <c r="E10" t="str">
        <v>Pesa Rusa 8kg</v>
      </c>
      <c r="F10" t="str">
        <v>Fitness</v>
      </c>
      <c r="G10">
        <v>1</v>
      </c>
      <c r="H10">
        <v>28</v>
      </c>
      <c r="I10" t="str">
        <v>Bilbao</v>
      </c>
      <c r="J10" t="str">
        <v>App</v>
      </c>
      <c r="K10">
        <v>4</v>
      </c>
      <c r="L10">
        <v>28</v>
      </c>
      <c r="M10">
        <v>12</v>
      </c>
      <c r="N10">
        <v>16</v>
      </c>
      <c r="O10" t="str">
        <v>David Ruiz</v>
      </c>
      <c r="P10" t="str">
        <v>No</v>
      </c>
    </row>
    <row r="11" spans="1:16" x14ac:dyDescent="0.3">
      <c r="C11">
        <v>1033</v>
      </c>
      <c r="D11">
        <v>45430</v>
      </c>
      <c r="E11" t="str">
        <v>Rodillo de Masaje (Foam)</v>
      </c>
      <c r="F11" t="str">
        <v>Fitness</v>
      </c>
      <c r="G11">
        <v>1</v>
      </c>
      <c r="H11">
        <v>20</v>
      </c>
      <c r="I11" t="str">
        <v>Málaga</v>
      </c>
      <c r="J11" t="str">
        <v>Tienda</v>
      </c>
      <c r="K11">
        <v>5</v>
      </c>
      <c r="L11">
        <v>20</v>
      </c>
      <c r="M11">
        <v>9</v>
      </c>
      <c r="N11">
        <v>11</v>
      </c>
      <c r="O11" t="str">
        <v>Carlos López</v>
      </c>
      <c r="P11" t="str">
        <v>No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915E-ECBC-4EE8-9AC0-601858F52623}">
  <dimension ref="A1:Q41"/>
  <sheetViews>
    <sheetView topLeftCell="H1" workbookViewId="0">
      <selection activeCell="Q2" sqref="Q2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hidden="1" customWidth="1"/>
    <col min="4" max="4" width="11.21875" hidden="1" customWidth="1"/>
    <col min="5" max="5" width="11.109375" hidden="1" customWidth="1"/>
    <col min="6" max="6" width="16.21875" hidden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bestFit="1" customWidth="1"/>
    <col min="13" max="13" width="14.77734375" hidden="1" customWidth="1"/>
    <col min="14" max="14" width="12.6640625" hidden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77</v>
      </c>
      <c r="Q1" t="s">
        <v>78</v>
      </c>
    </row>
    <row r="2" spans="1:17" x14ac:dyDescent="0.3">
      <c r="A2">
        <v>1001</v>
      </c>
      <c r="B2" s="8">
        <v>45352</v>
      </c>
      <c r="C2" t="s">
        <v>30</v>
      </c>
      <c r="D2" t="s">
        <v>19</v>
      </c>
      <c r="E2">
        <v>1</v>
      </c>
      <c r="F2">
        <v>25.5</v>
      </c>
      <c r="G2" t="s">
        <v>26</v>
      </c>
      <c r="H2" t="s">
        <v>28</v>
      </c>
      <c r="I2">
        <v>4</v>
      </c>
      <c r="J2">
        <v>25.5</v>
      </c>
      <c r="K2">
        <v>10</v>
      </c>
      <c r="L2">
        <v>15.5</v>
      </c>
      <c r="M2" t="s">
        <v>22</v>
      </c>
      <c r="N2" t="s">
        <v>23</v>
      </c>
      <c r="P2" t="s">
        <v>79</v>
      </c>
      <c r="Q2" s="10">
        <f>SUMIF($H:H,$P2,$L:L)</f>
        <v>274.5</v>
      </c>
    </row>
    <row r="3" spans="1:17" x14ac:dyDescent="0.3">
      <c r="A3">
        <v>1002</v>
      </c>
      <c r="B3" s="8">
        <v>45353</v>
      </c>
      <c r="C3" t="s">
        <v>36</v>
      </c>
      <c r="D3" t="s">
        <v>37</v>
      </c>
      <c r="E3">
        <v>2</v>
      </c>
      <c r="F3">
        <v>18</v>
      </c>
      <c r="G3" t="s">
        <v>31</v>
      </c>
      <c r="H3" t="s">
        <v>16</v>
      </c>
      <c r="I3">
        <v>5</v>
      </c>
      <c r="J3">
        <v>36</v>
      </c>
      <c r="K3">
        <v>14</v>
      </c>
      <c r="L3">
        <v>22</v>
      </c>
      <c r="M3" t="s">
        <v>32</v>
      </c>
      <c r="N3" t="s">
        <v>23</v>
      </c>
      <c r="P3" t="s">
        <v>80</v>
      </c>
      <c r="Q3" s="9">
        <f>SUMIF($H:H,$P3,$L:L)</f>
        <v>495</v>
      </c>
    </row>
    <row r="4" spans="1:17" x14ac:dyDescent="0.3">
      <c r="A4">
        <v>1003</v>
      </c>
      <c r="B4" s="8">
        <v>45354</v>
      </c>
      <c r="C4" t="s">
        <v>38</v>
      </c>
      <c r="D4" t="s">
        <v>39</v>
      </c>
      <c r="E4">
        <v>1</v>
      </c>
      <c r="F4">
        <v>85</v>
      </c>
      <c r="G4" t="s">
        <v>15</v>
      </c>
      <c r="H4" t="s">
        <v>21</v>
      </c>
      <c r="I4">
        <v>4</v>
      </c>
      <c r="J4">
        <v>85</v>
      </c>
      <c r="K4">
        <v>45</v>
      </c>
      <c r="L4">
        <v>40</v>
      </c>
      <c r="M4" t="s">
        <v>17</v>
      </c>
      <c r="N4" t="s">
        <v>23</v>
      </c>
      <c r="P4" t="s">
        <v>81</v>
      </c>
      <c r="Q4" s="9">
        <f>SUMIF($H:H,$P4,$L:L)</f>
        <v>496</v>
      </c>
    </row>
    <row r="5" spans="1:17" x14ac:dyDescent="0.3">
      <c r="A5">
        <v>1004</v>
      </c>
      <c r="B5" s="8">
        <v>45356</v>
      </c>
      <c r="C5" t="s">
        <v>40</v>
      </c>
      <c r="D5" t="s">
        <v>24</v>
      </c>
      <c r="E5">
        <v>1</v>
      </c>
      <c r="F5">
        <v>110</v>
      </c>
      <c r="G5" t="s">
        <v>20</v>
      </c>
      <c r="H5" t="s">
        <v>16</v>
      </c>
      <c r="I5">
        <v>5</v>
      </c>
      <c r="J5">
        <v>110</v>
      </c>
      <c r="K5">
        <v>60</v>
      </c>
      <c r="L5">
        <v>50</v>
      </c>
      <c r="M5" t="s">
        <v>25</v>
      </c>
      <c r="N5" t="s">
        <v>18</v>
      </c>
    </row>
    <row r="6" spans="1:17" x14ac:dyDescent="0.3">
      <c r="A6">
        <v>1005</v>
      </c>
      <c r="B6" s="8">
        <v>45358</v>
      </c>
      <c r="C6" t="s">
        <v>41</v>
      </c>
      <c r="D6" t="s">
        <v>37</v>
      </c>
      <c r="E6">
        <v>1</v>
      </c>
      <c r="F6">
        <v>35</v>
      </c>
      <c r="G6" t="s">
        <v>33</v>
      </c>
      <c r="H6" t="s">
        <v>21</v>
      </c>
      <c r="I6">
        <v>4</v>
      </c>
      <c r="J6">
        <v>35</v>
      </c>
      <c r="K6">
        <v>15</v>
      </c>
      <c r="L6">
        <v>20</v>
      </c>
      <c r="M6" t="s">
        <v>29</v>
      </c>
      <c r="N6" t="s">
        <v>23</v>
      </c>
    </row>
    <row r="7" spans="1:17" x14ac:dyDescent="0.3">
      <c r="A7">
        <v>1006</v>
      </c>
      <c r="B7" s="8">
        <v>45361</v>
      </c>
      <c r="C7" t="s">
        <v>42</v>
      </c>
      <c r="D7" t="s">
        <v>27</v>
      </c>
      <c r="E7">
        <v>1</v>
      </c>
      <c r="F7">
        <v>250</v>
      </c>
      <c r="G7" t="s">
        <v>26</v>
      </c>
      <c r="H7" t="s">
        <v>16</v>
      </c>
      <c r="I7">
        <v>5</v>
      </c>
      <c r="J7">
        <v>250</v>
      </c>
      <c r="K7">
        <v>180</v>
      </c>
      <c r="L7">
        <v>70</v>
      </c>
      <c r="M7" t="s">
        <v>22</v>
      </c>
      <c r="N7" t="s">
        <v>23</v>
      </c>
    </row>
    <row r="8" spans="1:17" x14ac:dyDescent="0.3">
      <c r="A8">
        <v>1007</v>
      </c>
      <c r="B8" s="8">
        <v>45363</v>
      </c>
      <c r="C8" t="s">
        <v>43</v>
      </c>
      <c r="D8" t="s">
        <v>19</v>
      </c>
      <c r="E8">
        <v>1</v>
      </c>
      <c r="F8">
        <v>45</v>
      </c>
      <c r="G8" t="s">
        <v>31</v>
      </c>
      <c r="H8" t="s">
        <v>28</v>
      </c>
      <c r="I8">
        <v>3</v>
      </c>
      <c r="J8">
        <v>45</v>
      </c>
      <c r="K8">
        <v>20</v>
      </c>
      <c r="L8">
        <v>25</v>
      </c>
      <c r="M8" t="s">
        <v>32</v>
      </c>
      <c r="N8" t="s">
        <v>23</v>
      </c>
    </row>
    <row r="9" spans="1:17" x14ac:dyDescent="0.3">
      <c r="A9">
        <v>1008</v>
      </c>
      <c r="B9" s="8">
        <v>45366</v>
      </c>
      <c r="C9" t="s">
        <v>44</v>
      </c>
      <c r="D9" t="s">
        <v>19</v>
      </c>
      <c r="E9">
        <v>3</v>
      </c>
      <c r="F9">
        <v>15</v>
      </c>
      <c r="G9" t="s">
        <v>15</v>
      </c>
      <c r="H9" t="s">
        <v>21</v>
      </c>
      <c r="I9">
        <v>4</v>
      </c>
      <c r="J9">
        <v>45</v>
      </c>
      <c r="K9">
        <v>18</v>
      </c>
      <c r="L9">
        <v>27</v>
      </c>
      <c r="M9" t="s">
        <v>17</v>
      </c>
      <c r="N9" t="s">
        <v>23</v>
      </c>
    </row>
    <row r="10" spans="1:17" x14ac:dyDescent="0.3">
      <c r="A10">
        <v>1009</v>
      </c>
      <c r="B10" s="8">
        <v>45369</v>
      </c>
      <c r="C10" t="s">
        <v>45</v>
      </c>
      <c r="D10" t="s">
        <v>37</v>
      </c>
      <c r="E10">
        <v>1</v>
      </c>
      <c r="F10">
        <v>90</v>
      </c>
      <c r="G10" t="s">
        <v>34</v>
      </c>
      <c r="H10" t="s">
        <v>16</v>
      </c>
      <c r="I10">
        <v>5</v>
      </c>
      <c r="J10">
        <v>90</v>
      </c>
      <c r="K10">
        <v>50</v>
      </c>
      <c r="L10">
        <v>40</v>
      </c>
      <c r="M10" t="s">
        <v>25</v>
      </c>
      <c r="N10" t="s">
        <v>23</v>
      </c>
    </row>
    <row r="11" spans="1:17" x14ac:dyDescent="0.3">
      <c r="A11">
        <v>1010</v>
      </c>
      <c r="B11" s="8">
        <v>45371</v>
      </c>
      <c r="C11" t="s">
        <v>46</v>
      </c>
      <c r="D11" t="s">
        <v>19</v>
      </c>
      <c r="E11">
        <v>2</v>
      </c>
      <c r="F11">
        <v>65</v>
      </c>
      <c r="G11" t="s">
        <v>33</v>
      </c>
      <c r="H11" t="s">
        <v>21</v>
      </c>
      <c r="I11">
        <v>4</v>
      </c>
      <c r="J11">
        <v>130</v>
      </c>
      <c r="K11">
        <v>70</v>
      </c>
      <c r="L11">
        <v>60</v>
      </c>
      <c r="M11" t="s">
        <v>29</v>
      </c>
      <c r="N11" t="s">
        <v>23</v>
      </c>
    </row>
    <row r="12" spans="1:17" x14ac:dyDescent="0.3">
      <c r="A12">
        <v>1011</v>
      </c>
      <c r="B12" s="8">
        <v>45373</v>
      </c>
      <c r="C12" t="s">
        <v>47</v>
      </c>
      <c r="D12" t="s">
        <v>14</v>
      </c>
      <c r="E12">
        <v>1</v>
      </c>
      <c r="F12">
        <v>28</v>
      </c>
      <c r="G12" t="s">
        <v>26</v>
      </c>
      <c r="H12" t="s">
        <v>28</v>
      </c>
      <c r="I12">
        <v>5</v>
      </c>
      <c r="J12">
        <v>28</v>
      </c>
      <c r="K12">
        <v>12</v>
      </c>
      <c r="L12">
        <v>30</v>
      </c>
      <c r="M12" t="s">
        <v>22</v>
      </c>
      <c r="N12" t="s">
        <v>23</v>
      </c>
    </row>
    <row r="13" spans="1:17" x14ac:dyDescent="0.3">
      <c r="A13">
        <v>1012</v>
      </c>
      <c r="B13" s="8">
        <v>45376</v>
      </c>
      <c r="C13" t="s">
        <v>48</v>
      </c>
      <c r="D13" t="s">
        <v>27</v>
      </c>
      <c r="E13">
        <v>1</v>
      </c>
      <c r="F13">
        <v>55</v>
      </c>
      <c r="G13" t="s">
        <v>31</v>
      </c>
      <c r="H13" t="s">
        <v>16</v>
      </c>
      <c r="I13">
        <v>2</v>
      </c>
      <c r="J13">
        <v>55</v>
      </c>
      <c r="K13">
        <v>25</v>
      </c>
      <c r="L13">
        <v>30</v>
      </c>
      <c r="M13" t="s">
        <v>32</v>
      </c>
      <c r="N13" t="s">
        <v>18</v>
      </c>
    </row>
    <row r="14" spans="1:17" x14ac:dyDescent="0.3">
      <c r="A14">
        <v>1013</v>
      </c>
      <c r="B14" s="8">
        <v>45378</v>
      </c>
      <c r="C14" t="s">
        <v>49</v>
      </c>
      <c r="D14" t="s">
        <v>39</v>
      </c>
      <c r="E14">
        <v>4</v>
      </c>
      <c r="F14">
        <v>20</v>
      </c>
      <c r="G14" t="s">
        <v>20</v>
      </c>
      <c r="H14" t="s">
        <v>21</v>
      </c>
      <c r="I14">
        <v>4</v>
      </c>
      <c r="J14">
        <v>80</v>
      </c>
      <c r="K14">
        <v>32</v>
      </c>
      <c r="L14">
        <v>48</v>
      </c>
      <c r="M14" t="s">
        <v>17</v>
      </c>
      <c r="N14" t="s">
        <v>23</v>
      </c>
    </row>
    <row r="15" spans="1:17" x14ac:dyDescent="0.3">
      <c r="A15">
        <v>1014</v>
      </c>
      <c r="B15" s="8">
        <v>45380</v>
      </c>
      <c r="C15" t="s">
        <v>50</v>
      </c>
      <c r="D15" t="s">
        <v>14</v>
      </c>
      <c r="E15">
        <v>1</v>
      </c>
      <c r="F15">
        <v>42</v>
      </c>
      <c r="G15" t="s">
        <v>15</v>
      </c>
      <c r="H15" t="s">
        <v>16</v>
      </c>
      <c r="I15">
        <v>4</v>
      </c>
      <c r="J15">
        <v>42</v>
      </c>
      <c r="K15">
        <v>18</v>
      </c>
      <c r="L15">
        <v>24</v>
      </c>
      <c r="M15" t="s">
        <v>25</v>
      </c>
      <c r="N15" t="s">
        <v>23</v>
      </c>
    </row>
    <row r="16" spans="1:17" x14ac:dyDescent="0.3">
      <c r="A16">
        <v>1015</v>
      </c>
      <c r="B16" s="8">
        <v>45381</v>
      </c>
      <c r="C16" t="s">
        <v>51</v>
      </c>
      <c r="D16" t="s">
        <v>37</v>
      </c>
      <c r="E16">
        <v>5</v>
      </c>
      <c r="F16">
        <v>8</v>
      </c>
      <c r="G16" t="s">
        <v>34</v>
      </c>
      <c r="H16" t="s">
        <v>28</v>
      </c>
      <c r="I16">
        <v>5</v>
      </c>
      <c r="J16">
        <v>40</v>
      </c>
      <c r="K16">
        <v>15</v>
      </c>
      <c r="L16">
        <v>25</v>
      </c>
      <c r="M16" t="s">
        <v>29</v>
      </c>
      <c r="N16" t="s">
        <v>23</v>
      </c>
    </row>
    <row r="17" spans="1:14" x14ac:dyDescent="0.3">
      <c r="A17">
        <v>1016</v>
      </c>
      <c r="B17" s="8">
        <v>45384</v>
      </c>
      <c r="C17" t="s">
        <v>52</v>
      </c>
      <c r="D17" t="s">
        <v>37</v>
      </c>
      <c r="E17">
        <v>3</v>
      </c>
      <c r="F17">
        <v>12</v>
      </c>
      <c r="G17" t="s">
        <v>26</v>
      </c>
      <c r="H17" t="s">
        <v>28</v>
      </c>
      <c r="I17">
        <v>5</v>
      </c>
      <c r="J17">
        <v>36</v>
      </c>
      <c r="K17">
        <v>15</v>
      </c>
      <c r="L17">
        <v>21</v>
      </c>
      <c r="M17" t="s">
        <v>22</v>
      </c>
      <c r="N17" t="s">
        <v>23</v>
      </c>
    </row>
    <row r="18" spans="1:14" x14ac:dyDescent="0.3">
      <c r="A18">
        <v>1017</v>
      </c>
      <c r="B18" s="8">
        <v>45387</v>
      </c>
      <c r="C18" t="s">
        <v>53</v>
      </c>
      <c r="D18" t="s">
        <v>19</v>
      </c>
      <c r="E18">
        <v>2</v>
      </c>
      <c r="F18">
        <v>18</v>
      </c>
      <c r="G18" t="s">
        <v>31</v>
      </c>
      <c r="H18" t="s">
        <v>21</v>
      </c>
      <c r="I18">
        <v>4</v>
      </c>
      <c r="J18">
        <v>36</v>
      </c>
      <c r="K18">
        <v>16</v>
      </c>
      <c r="L18">
        <v>20</v>
      </c>
      <c r="M18" t="s">
        <v>32</v>
      </c>
      <c r="N18" t="s">
        <v>23</v>
      </c>
    </row>
    <row r="19" spans="1:14" x14ac:dyDescent="0.3">
      <c r="A19">
        <v>1018</v>
      </c>
      <c r="B19" s="8">
        <v>45390</v>
      </c>
      <c r="C19" t="s">
        <v>54</v>
      </c>
      <c r="D19" t="s">
        <v>24</v>
      </c>
      <c r="E19">
        <v>1</v>
      </c>
      <c r="F19">
        <v>95</v>
      </c>
      <c r="G19" t="s">
        <v>15</v>
      </c>
      <c r="H19" t="s">
        <v>16</v>
      </c>
      <c r="I19">
        <v>4</v>
      </c>
      <c r="J19">
        <v>95</v>
      </c>
      <c r="K19">
        <v>55</v>
      </c>
      <c r="L19">
        <v>40</v>
      </c>
      <c r="M19" t="s">
        <v>17</v>
      </c>
      <c r="N19" t="s">
        <v>23</v>
      </c>
    </row>
    <row r="20" spans="1:14" x14ac:dyDescent="0.3">
      <c r="A20">
        <v>1019</v>
      </c>
      <c r="B20" s="8">
        <v>45392</v>
      </c>
      <c r="C20" t="s">
        <v>55</v>
      </c>
      <c r="D20" t="s">
        <v>14</v>
      </c>
      <c r="E20">
        <v>1</v>
      </c>
      <c r="F20">
        <v>45</v>
      </c>
      <c r="G20" t="s">
        <v>20</v>
      </c>
      <c r="H20" t="s">
        <v>21</v>
      </c>
      <c r="I20">
        <v>5</v>
      </c>
      <c r="J20">
        <v>45</v>
      </c>
      <c r="K20">
        <v>20</v>
      </c>
      <c r="L20">
        <v>25</v>
      </c>
      <c r="M20" t="s">
        <v>25</v>
      </c>
      <c r="N20" t="s">
        <v>23</v>
      </c>
    </row>
    <row r="21" spans="1:14" x14ac:dyDescent="0.3">
      <c r="A21">
        <v>1020</v>
      </c>
      <c r="B21" s="8">
        <v>45394</v>
      </c>
      <c r="C21" t="s">
        <v>56</v>
      </c>
      <c r="D21" t="s">
        <v>27</v>
      </c>
      <c r="E21">
        <v>1</v>
      </c>
      <c r="F21">
        <v>60</v>
      </c>
      <c r="G21" t="s">
        <v>33</v>
      </c>
      <c r="H21" t="s">
        <v>16</v>
      </c>
      <c r="I21">
        <v>3</v>
      </c>
      <c r="J21">
        <v>60</v>
      </c>
      <c r="K21">
        <v>35</v>
      </c>
      <c r="L21">
        <v>25</v>
      </c>
      <c r="M21" t="s">
        <v>29</v>
      </c>
      <c r="N21" t="s">
        <v>18</v>
      </c>
    </row>
    <row r="22" spans="1:14" x14ac:dyDescent="0.3">
      <c r="A22">
        <v>1021</v>
      </c>
      <c r="B22" s="8">
        <v>45397</v>
      </c>
      <c r="C22" t="s">
        <v>57</v>
      </c>
      <c r="D22" t="s">
        <v>14</v>
      </c>
      <c r="E22">
        <v>4</v>
      </c>
      <c r="F22">
        <v>10</v>
      </c>
      <c r="G22" t="s">
        <v>34</v>
      </c>
      <c r="H22" t="s">
        <v>28</v>
      </c>
      <c r="I22">
        <v>5</v>
      </c>
      <c r="J22">
        <v>40</v>
      </c>
      <c r="K22">
        <v>16</v>
      </c>
      <c r="L22">
        <v>24</v>
      </c>
      <c r="M22" t="s">
        <v>22</v>
      </c>
      <c r="N22" t="s">
        <v>23</v>
      </c>
    </row>
    <row r="23" spans="1:14" x14ac:dyDescent="0.3">
      <c r="A23">
        <v>1022</v>
      </c>
      <c r="B23" s="8">
        <v>45399</v>
      </c>
      <c r="C23" t="s">
        <v>58</v>
      </c>
      <c r="D23" t="s">
        <v>19</v>
      </c>
      <c r="E23">
        <v>1</v>
      </c>
      <c r="F23">
        <v>35</v>
      </c>
      <c r="G23" t="s">
        <v>26</v>
      </c>
      <c r="H23" t="s">
        <v>21</v>
      </c>
      <c r="I23">
        <v>4</v>
      </c>
      <c r="J23">
        <v>35</v>
      </c>
      <c r="K23">
        <v>15</v>
      </c>
      <c r="L23">
        <v>20</v>
      </c>
      <c r="M23" t="s">
        <v>32</v>
      </c>
      <c r="N23" t="s">
        <v>23</v>
      </c>
    </row>
    <row r="24" spans="1:14" x14ac:dyDescent="0.3">
      <c r="A24">
        <v>1023</v>
      </c>
      <c r="B24" s="8">
        <v>45402</v>
      </c>
      <c r="C24" t="s">
        <v>59</v>
      </c>
      <c r="D24" t="s">
        <v>19</v>
      </c>
      <c r="E24">
        <v>2</v>
      </c>
      <c r="F24">
        <v>15</v>
      </c>
      <c r="G24" t="s">
        <v>31</v>
      </c>
      <c r="H24" t="s">
        <v>16</v>
      </c>
      <c r="I24">
        <v>4</v>
      </c>
      <c r="J24">
        <v>30</v>
      </c>
      <c r="K24">
        <v>12</v>
      </c>
      <c r="L24">
        <v>18</v>
      </c>
      <c r="M24" t="s">
        <v>17</v>
      </c>
      <c r="N24" t="s">
        <v>23</v>
      </c>
    </row>
    <row r="25" spans="1:14" x14ac:dyDescent="0.3">
      <c r="A25">
        <v>1024</v>
      </c>
      <c r="B25" s="8">
        <v>45404</v>
      </c>
      <c r="C25" t="s">
        <v>60</v>
      </c>
      <c r="D25" t="s">
        <v>37</v>
      </c>
      <c r="E25">
        <v>1</v>
      </c>
      <c r="F25">
        <v>18</v>
      </c>
      <c r="G25" t="s">
        <v>15</v>
      </c>
      <c r="H25" t="s">
        <v>28</v>
      </c>
      <c r="I25">
        <v>3</v>
      </c>
      <c r="J25">
        <v>18</v>
      </c>
      <c r="K25">
        <v>8</v>
      </c>
      <c r="L25">
        <v>10</v>
      </c>
      <c r="M25" t="s">
        <v>25</v>
      </c>
      <c r="N25" t="s">
        <v>23</v>
      </c>
    </row>
    <row r="26" spans="1:14" x14ac:dyDescent="0.3">
      <c r="A26">
        <v>1025</v>
      </c>
      <c r="B26" s="8">
        <v>45407</v>
      </c>
      <c r="C26" t="s">
        <v>61</v>
      </c>
      <c r="D26" t="s">
        <v>39</v>
      </c>
      <c r="E26">
        <v>1</v>
      </c>
      <c r="F26">
        <v>120</v>
      </c>
      <c r="G26" t="s">
        <v>20</v>
      </c>
      <c r="H26" t="s">
        <v>21</v>
      </c>
      <c r="I26">
        <v>5</v>
      </c>
      <c r="J26">
        <v>120</v>
      </c>
      <c r="K26">
        <v>70</v>
      </c>
      <c r="L26">
        <v>50</v>
      </c>
      <c r="M26" t="s">
        <v>29</v>
      </c>
      <c r="N26" t="s">
        <v>23</v>
      </c>
    </row>
    <row r="27" spans="1:14" x14ac:dyDescent="0.3">
      <c r="A27">
        <v>1026</v>
      </c>
      <c r="B27" s="8">
        <v>45410</v>
      </c>
      <c r="C27" t="s">
        <v>62</v>
      </c>
      <c r="D27" t="s">
        <v>39</v>
      </c>
      <c r="E27">
        <v>5</v>
      </c>
      <c r="F27">
        <v>6</v>
      </c>
      <c r="G27" t="s">
        <v>33</v>
      </c>
      <c r="H27" t="s">
        <v>16</v>
      </c>
      <c r="I27">
        <v>4</v>
      </c>
      <c r="J27">
        <v>30</v>
      </c>
      <c r="K27">
        <v>15</v>
      </c>
      <c r="L27">
        <v>15</v>
      </c>
      <c r="M27" t="s">
        <v>22</v>
      </c>
      <c r="N27" t="s">
        <v>23</v>
      </c>
    </row>
    <row r="28" spans="1:14" x14ac:dyDescent="0.3">
      <c r="A28">
        <v>1027</v>
      </c>
      <c r="B28" s="8">
        <v>45414</v>
      </c>
      <c r="C28" t="s">
        <v>63</v>
      </c>
      <c r="D28" t="s">
        <v>19</v>
      </c>
      <c r="E28">
        <v>3</v>
      </c>
      <c r="F28">
        <v>12</v>
      </c>
      <c r="G28" t="s">
        <v>34</v>
      </c>
      <c r="H28" t="s">
        <v>21</v>
      </c>
      <c r="I28">
        <v>5</v>
      </c>
      <c r="J28">
        <v>36</v>
      </c>
      <c r="K28">
        <v>15</v>
      </c>
      <c r="L28">
        <v>21</v>
      </c>
      <c r="M28" t="s">
        <v>32</v>
      </c>
      <c r="N28" t="s">
        <v>23</v>
      </c>
    </row>
    <row r="29" spans="1:14" x14ac:dyDescent="0.3">
      <c r="A29">
        <v>1028</v>
      </c>
      <c r="B29" s="8">
        <v>45417</v>
      </c>
      <c r="C29" t="s">
        <v>64</v>
      </c>
      <c r="D29" t="s">
        <v>14</v>
      </c>
      <c r="E29">
        <v>1</v>
      </c>
      <c r="F29">
        <v>30</v>
      </c>
      <c r="G29" t="s">
        <v>26</v>
      </c>
      <c r="H29" t="s">
        <v>16</v>
      </c>
      <c r="I29">
        <v>4</v>
      </c>
      <c r="J29">
        <v>30</v>
      </c>
      <c r="K29">
        <v>14</v>
      </c>
      <c r="L29">
        <v>16</v>
      </c>
      <c r="M29" t="s">
        <v>17</v>
      </c>
      <c r="N29" t="s">
        <v>18</v>
      </c>
    </row>
    <row r="30" spans="1:14" x14ac:dyDescent="0.3">
      <c r="A30">
        <v>1029</v>
      </c>
      <c r="B30" s="8">
        <v>45420</v>
      </c>
      <c r="C30" t="s">
        <v>65</v>
      </c>
      <c r="D30" t="s">
        <v>14</v>
      </c>
      <c r="E30">
        <v>2</v>
      </c>
      <c r="F30">
        <v>25</v>
      </c>
      <c r="G30" t="s">
        <v>31</v>
      </c>
      <c r="H30" t="s">
        <v>28</v>
      </c>
      <c r="I30">
        <v>5</v>
      </c>
      <c r="J30">
        <v>50</v>
      </c>
      <c r="K30">
        <v>22</v>
      </c>
      <c r="L30">
        <v>28</v>
      </c>
      <c r="M30" t="s">
        <v>25</v>
      </c>
      <c r="N30" t="s">
        <v>23</v>
      </c>
    </row>
    <row r="31" spans="1:14" x14ac:dyDescent="0.3">
      <c r="A31">
        <v>1030</v>
      </c>
      <c r="B31" s="8">
        <v>45422</v>
      </c>
      <c r="C31" t="s">
        <v>66</v>
      </c>
      <c r="D31" t="s">
        <v>19</v>
      </c>
      <c r="E31">
        <v>1</v>
      </c>
      <c r="F31">
        <v>22</v>
      </c>
      <c r="G31" t="s">
        <v>15</v>
      </c>
      <c r="H31" t="s">
        <v>21</v>
      </c>
      <c r="I31">
        <v>4</v>
      </c>
      <c r="J31">
        <v>22</v>
      </c>
      <c r="K31">
        <v>10</v>
      </c>
      <c r="L31">
        <v>12</v>
      </c>
      <c r="M31" t="s">
        <v>29</v>
      </c>
      <c r="N31" t="s">
        <v>23</v>
      </c>
    </row>
    <row r="32" spans="1:14" x14ac:dyDescent="0.3">
      <c r="A32">
        <v>1031</v>
      </c>
      <c r="B32" s="8">
        <v>45424</v>
      </c>
      <c r="C32" t="s">
        <v>67</v>
      </c>
      <c r="D32" t="s">
        <v>39</v>
      </c>
      <c r="E32">
        <v>2</v>
      </c>
      <c r="F32">
        <v>8</v>
      </c>
      <c r="G32" t="s">
        <v>20</v>
      </c>
      <c r="H32" t="s">
        <v>16</v>
      </c>
      <c r="I32">
        <v>3</v>
      </c>
      <c r="J32">
        <v>16</v>
      </c>
      <c r="K32">
        <v>6</v>
      </c>
      <c r="L32">
        <v>10</v>
      </c>
      <c r="M32" t="s">
        <v>22</v>
      </c>
      <c r="N32" t="s">
        <v>23</v>
      </c>
    </row>
    <row r="33" spans="1:14" x14ac:dyDescent="0.3">
      <c r="A33">
        <v>1032</v>
      </c>
      <c r="B33" s="8">
        <v>45427</v>
      </c>
      <c r="C33" t="s">
        <v>68</v>
      </c>
      <c r="D33" t="s">
        <v>37</v>
      </c>
      <c r="E33">
        <v>1</v>
      </c>
      <c r="F33">
        <v>28</v>
      </c>
      <c r="G33" t="s">
        <v>33</v>
      </c>
      <c r="H33" t="s">
        <v>28</v>
      </c>
      <c r="I33">
        <v>4</v>
      </c>
      <c r="J33">
        <v>28</v>
      </c>
      <c r="K33">
        <v>12</v>
      </c>
      <c r="L33">
        <v>16</v>
      </c>
      <c r="M33" t="s">
        <v>32</v>
      </c>
      <c r="N33" t="s">
        <v>23</v>
      </c>
    </row>
    <row r="34" spans="1:14" x14ac:dyDescent="0.3">
      <c r="A34">
        <v>1033</v>
      </c>
      <c r="B34" s="8">
        <v>45430</v>
      </c>
      <c r="C34" t="s">
        <v>69</v>
      </c>
      <c r="D34" t="s">
        <v>37</v>
      </c>
      <c r="E34">
        <v>1</v>
      </c>
      <c r="F34">
        <v>20</v>
      </c>
      <c r="G34" t="s">
        <v>34</v>
      </c>
      <c r="H34" t="s">
        <v>21</v>
      </c>
      <c r="I34">
        <v>5</v>
      </c>
      <c r="J34">
        <v>20</v>
      </c>
      <c r="K34">
        <v>9</v>
      </c>
      <c r="L34">
        <v>11</v>
      </c>
      <c r="M34" t="s">
        <v>17</v>
      </c>
      <c r="N34" t="s">
        <v>23</v>
      </c>
    </row>
    <row r="35" spans="1:14" x14ac:dyDescent="0.3">
      <c r="A35">
        <v>1034</v>
      </c>
      <c r="B35" s="8">
        <v>45432</v>
      </c>
      <c r="C35" t="s">
        <v>70</v>
      </c>
      <c r="D35" t="s">
        <v>39</v>
      </c>
      <c r="E35">
        <v>1</v>
      </c>
      <c r="F35">
        <v>150</v>
      </c>
      <c r="G35" t="s">
        <v>26</v>
      </c>
      <c r="H35" t="s">
        <v>16</v>
      </c>
      <c r="I35">
        <v>4</v>
      </c>
      <c r="J35">
        <v>150</v>
      </c>
      <c r="K35">
        <v>90</v>
      </c>
      <c r="L35">
        <v>60</v>
      </c>
      <c r="M35" t="s">
        <v>25</v>
      </c>
      <c r="N35" t="s">
        <v>23</v>
      </c>
    </row>
    <row r="36" spans="1:14" x14ac:dyDescent="0.3">
      <c r="A36">
        <v>1035</v>
      </c>
      <c r="B36" s="8">
        <v>45434</v>
      </c>
      <c r="C36" t="s">
        <v>71</v>
      </c>
      <c r="D36" t="s">
        <v>39</v>
      </c>
      <c r="E36">
        <v>1</v>
      </c>
      <c r="F36">
        <v>300</v>
      </c>
      <c r="G36" t="s">
        <v>31</v>
      </c>
      <c r="H36" t="s">
        <v>21</v>
      </c>
      <c r="I36">
        <v>5</v>
      </c>
      <c r="J36">
        <v>300</v>
      </c>
      <c r="K36">
        <v>180</v>
      </c>
      <c r="L36">
        <v>120</v>
      </c>
      <c r="M36" t="s">
        <v>29</v>
      </c>
      <c r="N36" t="s">
        <v>23</v>
      </c>
    </row>
    <row r="37" spans="1:14" x14ac:dyDescent="0.3">
      <c r="A37">
        <v>1036</v>
      </c>
      <c r="B37" s="8">
        <v>45437</v>
      </c>
      <c r="C37" t="s">
        <v>72</v>
      </c>
      <c r="D37" t="s">
        <v>19</v>
      </c>
      <c r="E37">
        <v>1</v>
      </c>
      <c r="F37">
        <v>85</v>
      </c>
      <c r="G37" t="s">
        <v>15</v>
      </c>
      <c r="H37" t="s">
        <v>28</v>
      </c>
      <c r="I37">
        <v>4</v>
      </c>
      <c r="J37">
        <v>85</v>
      </c>
      <c r="K37">
        <v>45</v>
      </c>
      <c r="L37">
        <v>40</v>
      </c>
      <c r="M37" t="s">
        <v>22</v>
      </c>
      <c r="N37" t="s">
        <v>23</v>
      </c>
    </row>
    <row r="38" spans="1:14" x14ac:dyDescent="0.3">
      <c r="A38">
        <v>1037</v>
      </c>
      <c r="B38" s="8">
        <v>45440</v>
      </c>
      <c r="C38" t="s">
        <v>73</v>
      </c>
      <c r="D38" t="s">
        <v>19</v>
      </c>
      <c r="E38">
        <v>1</v>
      </c>
      <c r="F38">
        <v>50</v>
      </c>
      <c r="G38" t="s">
        <v>20</v>
      </c>
      <c r="H38" t="s">
        <v>16</v>
      </c>
      <c r="I38">
        <v>4</v>
      </c>
      <c r="J38">
        <v>50</v>
      </c>
      <c r="K38">
        <v>25</v>
      </c>
      <c r="L38">
        <v>25</v>
      </c>
      <c r="M38" t="s">
        <v>32</v>
      </c>
      <c r="N38" t="s">
        <v>18</v>
      </c>
    </row>
    <row r="39" spans="1:14" x14ac:dyDescent="0.3">
      <c r="A39">
        <v>1038</v>
      </c>
      <c r="B39" s="8">
        <v>45442</v>
      </c>
      <c r="C39" t="s">
        <v>74</v>
      </c>
      <c r="D39" t="s">
        <v>14</v>
      </c>
      <c r="E39">
        <v>1</v>
      </c>
      <c r="F39">
        <v>40</v>
      </c>
      <c r="G39" t="s">
        <v>33</v>
      </c>
      <c r="H39" t="s">
        <v>21</v>
      </c>
      <c r="I39">
        <v>5</v>
      </c>
      <c r="J39">
        <v>40</v>
      </c>
      <c r="K39">
        <v>18</v>
      </c>
      <c r="L39">
        <v>22</v>
      </c>
      <c r="M39" t="s">
        <v>17</v>
      </c>
      <c r="N39" t="s">
        <v>23</v>
      </c>
    </row>
    <row r="40" spans="1:14" x14ac:dyDescent="0.3">
      <c r="A40">
        <v>1039</v>
      </c>
      <c r="B40" s="8">
        <v>45445</v>
      </c>
      <c r="C40" t="s">
        <v>75</v>
      </c>
      <c r="D40" t="s">
        <v>14</v>
      </c>
      <c r="E40">
        <v>2</v>
      </c>
      <c r="F40">
        <v>35</v>
      </c>
      <c r="G40" t="s">
        <v>34</v>
      </c>
      <c r="H40" t="s">
        <v>28</v>
      </c>
      <c r="I40">
        <v>4</v>
      </c>
      <c r="J40">
        <v>70</v>
      </c>
      <c r="K40">
        <v>30</v>
      </c>
      <c r="L40">
        <v>40</v>
      </c>
      <c r="M40" t="s">
        <v>25</v>
      </c>
      <c r="N40" t="s">
        <v>23</v>
      </c>
    </row>
    <row r="41" spans="1:14" x14ac:dyDescent="0.3">
      <c r="A41">
        <v>1040</v>
      </c>
      <c r="B41" s="8">
        <v>45448</v>
      </c>
      <c r="C41" t="s">
        <v>76</v>
      </c>
      <c r="D41" t="s">
        <v>24</v>
      </c>
      <c r="E41">
        <v>1</v>
      </c>
      <c r="F41">
        <v>130</v>
      </c>
      <c r="G41" t="s">
        <v>26</v>
      </c>
      <c r="H41" t="s">
        <v>16</v>
      </c>
      <c r="I41">
        <v>5</v>
      </c>
      <c r="J41">
        <v>130</v>
      </c>
      <c r="K41">
        <v>80</v>
      </c>
      <c r="L41">
        <v>50</v>
      </c>
      <c r="M41" t="s">
        <v>29</v>
      </c>
      <c r="N41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F623-4CF5-47E3-9B7A-5B9E282DFD68}">
  <dimension ref="A1:U45"/>
  <sheetViews>
    <sheetView workbookViewId="0">
      <selection sqref="A1:A1048576"/>
    </sheetView>
  </sheetViews>
  <sheetFormatPr baseColWidth="10" defaultRowHeight="14.4" x14ac:dyDescent="0.3"/>
  <cols>
    <col min="1" max="2" width="11.5546875" customWidth="1"/>
    <col min="4" max="4" width="11.5546875" customWidth="1"/>
    <col min="6" max="7" width="0" hidden="1" customWidth="1"/>
    <col min="8" max="14" width="11.5546875" customWidth="1"/>
    <col min="19" max="19" width="45.109375" customWidth="1"/>
  </cols>
  <sheetData>
    <row r="1" spans="1:21" ht="72" x14ac:dyDescent="0.3">
      <c r="S1" s="11" t="s">
        <v>82</v>
      </c>
    </row>
    <row r="2" spans="1:21" ht="43.2" x14ac:dyDescent="0.3">
      <c r="S2" s="11" t="s">
        <v>83</v>
      </c>
    </row>
    <row r="3" spans="1:21" x14ac:dyDescent="0.3">
      <c r="U3" t="s">
        <v>85</v>
      </c>
    </row>
    <row r="4" spans="1:21" x14ac:dyDescent="0.3">
      <c r="Q4" t="s">
        <v>24</v>
      </c>
      <c r="S4">
        <f t="shared" ref="S4:S10" si="0">SUMIF(_xlnm.Criteria,Q4,E:E)</f>
        <v>3</v>
      </c>
      <c r="T4" t="s">
        <v>24</v>
      </c>
    </row>
    <row r="5" spans="1:21" ht="27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 t="s">
        <v>5</v>
      </c>
      <c r="G5" s="1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1" t="s">
        <v>12</v>
      </c>
      <c r="N5" s="1" t="s">
        <v>13</v>
      </c>
      <c r="Q5" t="s">
        <v>37</v>
      </c>
      <c r="S5">
        <f t="shared" si="0"/>
        <v>15</v>
      </c>
      <c r="T5" t="s">
        <v>37</v>
      </c>
    </row>
    <row r="6" spans="1:21" x14ac:dyDescent="0.3">
      <c r="A6" s="5">
        <v>1001</v>
      </c>
      <c r="B6" s="6">
        <v>45352</v>
      </c>
      <c r="C6" s="5" t="s">
        <v>30</v>
      </c>
      <c r="D6" s="5" t="s">
        <v>19</v>
      </c>
      <c r="E6" s="5">
        <v>1</v>
      </c>
      <c r="F6" s="7">
        <v>25.5</v>
      </c>
      <c r="G6" s="5" t="s">
        <v>26</v>
      </c>
      <c r="H6" s="5" t="s">
        <v>28</v>
      </c>
      <c r="I6" s="5">
        <v>4</v>
      </c>
      <c r="J6" s="7">
        <v>25.5</v>
      </c>
      <c r="K6" s="7">
        <v>10</v>
      </c>
      <c r="L6" s="7">
        <v>15.5</v>
      </c>
      <c r="M6" s="5" t="s">
        <v>22</v>
      </c>
      <c r="N6" s="5" t="s">
        <v>23</v>
      </c>
      <c r="Q6" t="s">
        <v>39</v>
      </c>
      <c r="S6">
        <f t="shared" si="0"/>
        <v>15</v>
      </c>
      <c r="T6" t="s">
        <v>39</v>
      </c>
    </row>
    <row r="7" spans="1:21" x14ac:dyDescent="0.3">
      <c r="A7" s="5">
        <v>1002</v>
      </c>
      <c r="B7" s="6">
        <v>45353</v>
      </c>
      <c r="C7" s="5" t="s">
        <v>36</v>
      </c>
      <c r="D7" s="5" t="s">
        <v>37</v>
      </c>
      <c r="E7" s="5">
        <v>2</v>
      </c>
      <c r="F7" s="7">
        <v>18</v>
      </c>
      <c r="G7" s="5" t="s">
        <v>31</v>
      </c>
      <c r="H7" s="5" t="s">
        <v>16</v>
      </c>
      <c r="I7" s="5">
        <v>5</v>
      </c>
      <c r="J7" s="7">
        <v>36</v>
      </c>
      <c r="K7" s="7">
        <v>14</v>
      </c>
      <c r="L7" s="7">
        <v>22</v>
      </c>
      <c r="M7" s="5" t="s">
        <v>32</v>
      </c>
      <c r="N7" s="5" t="s">
        <v>23</v>
      </c>
      <c r="Q7" t="s">
        <v>24</v>
      </c>
      <c r="S7">
        <f t="shared" si="0"/>
        <v>3</v>
      </c>
      <c r="T7" t="s">
        <v>24</v>
      </c>
    </row>
    <row r="8" spans="1:21" x14ac:dyDescent="0.3">
      <c r="A8" s="5">
        <v>1003</v>
      </c>
      <c r="B8" s="6">
        <v>45354</v>
      </c>
      <c r="C8" s="5" t="s">
        <v>38</v>
      </c>
      <c r="D8" s="5" t="s">
        <v>39</v>
      </c>
      <c r="E8" s="5">
        <v>1</v>
      </c>
      <c r="F8" s="7">
        <v>85</v>
      </c>
      <c r="G8" s="5" t="s">
        <v>15</v>
      </c>
      <c r="H8" s="5" t="s">
        <v>21</v>
      </c>
      <c r="I8" s="5">
        <v>4</v>
      </c>
      <c r="J8" s="7">
        <v>85</v>
      </c>
      <c r="K8" s="7">
        <v>45</v>
      </c>
      <c r="L8" s="7">
        <v>40</v>
      </c>
      <c r="M8" s="5" t="s">
        <v>17</v>
      </c>
      <c r="N8" s="5" t="s">
        <v>23</v>
      </c>
      <c r="Q8" t="s">
        <v>27</v>
      </c>
      <c r="S8">
        <f t="shared" si="0"/>
        <v>3</v>
      </c>
      <c r="T8" t="s">
        <v>27</v>
      </c>
    </row>
    <row r="9" spans="1:21" x14ac:dyDescent="0.3">
      <c r="A9" s="5">
        <v>1004</v>
      </c>
      <c r="B9" s="6">
        <v>45356</v>
      </c>
      <c r="C9" s="5" t="s">
        <v>40</v>
      </c>
      <c r="D9" s="5" t="s">
        <v>24</v>
      </c>
      <c r="E9" s="5">
        <v>1</v>
      </c>
      <c r="F9" s="7">
        <v>110</v>
      </c>
      <c r="G9" s="5" t="s">
        <v>20</v>
      </c>
      <c r="H9" s="5" t="s">
        <v>16</v>
      </c>
      <c r="I9" s="5">
        <v>5</v>
      </c>
      <c r="J9" s="7">
        <v>110</v>
      </c>
      <c r="K9" s="7">
        <v>60</v>
      </c>
      <c r="L9" s="7">
        <v>50</v>
      </c>
      <c r="M9" s="5" t="s">
        <v>25</v>
      </c>
      <c r="N9" s="5" t="s">
        <v>18</v>
      </c>
      <c r="Q9" t="s">
        <v>14</v>
      </c>
      <c r="S9">
        <f t="shared" si="0"/>
        <v>13</v>
      </c>
      <c r="T9" t="s">
        <v>14</v>
      </c>
    </row>
    <row r="10" spans="1:21" x14ac:dyDescent="0.3">
      <c r="A10" s="5">
        <v>1005</v>
      </c>
      <c r="B10" s="6">
        <v>45358</v>
      </c>
      <c r="C10" s="5" t="s">
        <v>41</v>
      </c>
      <c r="D10" s="5" t="s">
        <v>37</v>
      </c>
      <c r="E10" s="5">
        <v>1</v>
      </c>
      <c r="F10" s="7">
        <v>35</v>
      </c>
      <c r="G10" s="5" t="s">
        <v>33</v>
      </c>
      <c r="H10" s="5" t="s">
        <v>21</v>
      </c>
      <c r="I10" s="5">
        <v>4</v>
      </c>
      <c r="J10" s="7">
        <v>35</v>
      </c>
      <c r="K10" s="7">
        <v>15</v>
      </c>
      <c r="L10" s="7">
        <v>20</v>
      </c>
      <c r="M10" s="5" t="s">
        <v>29</v>
      </c>
      <c r="N10" s="5" t="s">
        <v>23</v>
      </c>
      <c r="Q10" t="s">
        <v>84</v>
      </c>
      <c r="S10">
        <f t="shared" si="0"/>
        <v>18</v>
      </c>
    </row>
    <row r="11" spans="1:21" x14ac:dyDescent="0.3">
      <c r="A11" s="5">
        <v>1006</v>
      </c>
      <c r="B11" s="6">
        <v>45361</v>
      </c>
      <c r="C11" s="5" t="s">
        <v>42</v>
      </c>
      <c r="D11" s="5" t="s">
        <v>27</v>
      </c>
      <c r="E11" s="5">
        <v>1</v>
      </c>
      <c r="F11" s="7">
        <v>250</v>
      </c>
      <c r="G11" s="5" t="s">
        <v>26</v>
      </c>
      <c r="H11" s="5" t="s">
        <v>16</v>
      </c>
      <c r="I11" s="5">
        <v>5</v>
      </c>
      <c r="J11" s="7">
        <v>250</v>
      </c>
      <c r="K11" s="7">
        <v>180</v>
      </c>
      <c r="L11" s="7">
        <v>70</v>
      </c>
      <c r="M11" s="5" t="s">
        <v>22</v>
      </c>
      <c r="N11" s="5" t="s">
        <v>23</v>
      </c>
    </row>
    <row r="12" spans="1:21" x14ac:dyDescent="0.3">
      <c r="A12" s="5">
        <v>1007</v>
      </c>
      <c r="B12" s="6">
        <v>45363</v>
      </c>
      <c r="C12" s="5" t="s">
        <v>43</v>
      </c>
      <c r="D12" s="5" t="s">
        <v>19</v>
      </c>
      <c r="E12" s="5">
        <v>1</v>
      </c>
      <c r="F12" s="7">
        <v>45</v>
      </c>
      <c r="G12" s="5" t="s">
        <v>31</v>
      </c>
      <c r="H12" s="5" t="s">
        <v>28</v>
      </c>
      <c r="I12" s="5">
        <v>3</v>
      </c>
      <c r="J12" s="7">
        <v>45</v>
      </c>
      <c r="K12" s="7">
        <v>20</v>
      </c>
      <c r="L12" s="7">
        <v>25</v>
      </c>
      <c r="M12" s="5" t="s">
        <v>32</v>
      </c>
      <c r="N12" s="5" t="s">
        <v>23</v>
      </c>
    </row>
    <row r="13" spans="1:21" x14ac:dyDescent="0.3">
      <c r="A13" s="5">
        <v>1008</v>
      </c>
      <c r="B13" s="6">
        <v>45366</v>
      </c>
      <c r="C13" s="5" t="s">
        <v>44</v>
      </c>
      <c r="D13" s="5" t="s">
        <v>19</v>
      </c>
      <c r="E13" s="5">
        <v>3</v>
      </c>
      <c r="F13" s="7">
        <v>15</v>
      </c>
      <c r="G13" s="5" t="s">
        <v>15</v>
      </c>
      <c r="H13" s="5" t="s">
        <v>21</v>
      </c>
      <c r="I13" s="5">
        <v>4</v>
      </c>
      <c r="J13" s="7">
        <v>45</v>
      </c>
      <c r="K13" s="7">
        <v>18</v>
      </c>
      <c r="L13" s="7">
        <v>27</v>
      </c>
      <c r="M13" s="5" t="s">
        <v>17</v>
      </c>
      <c r="N13" s="5" t="s">
        <v>23</v>
      </c>
    </row>
    <row r="14" spans="1:21" x14ac:dyDescent="0.3">
      <c r="A14" s="5">
        <v>1009</v>
      </c>
      <c r="B14" s="6">
        <v>45369</v>
      </c>
      <c r="C14" s="5" t="s">
        <v>45</v>
      </c>
      <c r="D14" s="5" t="s">
        <v>37</v>
      </c>
      <c r="E14" s="5">
        <v>1</v>
      </c>
      <c r="F14" s="7">
        <v>90</v>
      </c>
      <c r="G14" s="5" t="s">
        <v>34</v>
      </c>
      <c r="H14" s="5" t="s">
        <v>16</v>
      </c>
      <c r="I14" s="5">
        <v>5</v>
      </c>
      <c r="J14" s="7">
        <v>90</v>
      </c>
      <c r="K14" s="7">
        <v>50</v>
      </c>
      <c r="L14" s="7">
        <v>40</v>
      </c>
      <c r="M14" s="5" t="s">
        <v>25</v>
      </c>
      <c r="N14" s="5" t="s">
        <v>23</v>
      </c>
    </row>
    <row r="15" spans="1:21" x14ac:dyDescent="0.3">
      <c r="A15" s="5">
        <v>1010</v>
      </c>
      <c r="B15" s="6">
        <v>45371</v>
      </c>
      <c r="C15" s="5" t="s">
        <v>46</v>
      </c>
      <c r="D15" s="5" t="s">
        <v>19</v>
      </c>
      <c r="E15" s="5">
        <v>2</v>
      </c>
      <c r="F15" s="7">
        <v>65</v>
      </c>
      <c r="G15" s="5" t="s">
        <v>33</v>
      </c>
      <c r="H15" s="5" t="s">
        <v>21</v>
      </c>
      <c r="I15" s="5">
        <v>4</v>
      </c>
      <c r="J15" s="7">
        <v>130</v>
      </c>
      <c r="K15" s="7">
        <v>70</v>
      </c>
      <c r="L15" s="7">
        <v>60</v>
      </c>
      <c r="M15" s="5" t="s">
        <v>29</v>
      </c>
      <c r="N15" s="5" t="s">
        <v>23</v>
      </c>
    </row>
    <row r="16" spans="1:21" x14ac:dyDescent="0.3">
      <c r="A16" s="5">
        <v>1011</v>
      </c>
      <c r="B16" s="6">
        <v>45373</v>
      </c>
      <c r="C16" s="5" t="s">
        <v>47</v>
      </c>
      <c r="D16" s="5" t="s">
        <v>14</v>
      </c>
      <c r="E16" s="5">
        <v>1</v>
      </c>
      <c r="F16" s="7">
        <v>28</v>
      </c>
      <c r="G16" s="5" t="s">
        <v>26</v>
      </c>
      <c r="H16" s="5" t="s">
        <v>28</v>
      </c>
      <c r="I16" s="5">
        <v>5</v>
      </c>
      <c r="J16" s="7">
        <v>28</v>
      </c>
      <c r="K16" s="7">
        <v>12</v>
      </c>
      <c r="L16" s="3">
        <v>30</v>
      </c>
      <c r="M16" s="5" t="s">
        <v>22</v>
      </c>
      <c r="N16" s="5" t="s">
        <v>23</v>
      </c>
    </row>
    <row r="17" spans="1:14" x14ac:dyDescent="0.3">
      <c r="A17" s="5">
        <v>1012</v>
      </c>
      <c r="B17" s="6">
        <v>45376</v>
      </c>
      <c r="C17" s="5" t="s">
        <v>48</v>
      </c>
      <c r="D17" s="5" t="s">
        <v>27</v>
      </c>
      <c r="E17" s="5">
        <v>1</v>
      </c>
      <c r="F17" s="7">
        <v>55</v>
      </c>
      <c r="G17" s="5" t="s">
        <v>31</v>
      </c>
      <c r="H17" s="5" t="s">
        <v>16</v>
      </c>
      <c r="I17" s="5">
        <v>2</v>
      </c>
      <c r="J17" s="7">
        <v>55</v>
      </c>
      <c r="K17" s="7">
        <v>25</v>
      </c>
      <c r="L17" s="7">
        <v>30</v>
      </c>
      <c r="M17" s="5" t="s">
        <v>32</v>
      </c>
      <c r="N17" s="5" t="s">
        <v>18</v>
      </c>
    </row>
    <row r="18" spans="1:14" x14ac:dyDescent="0.3">
      <c r="A18" s="5">
        <v>1013</v>
      </c>
      <c r="B18" s="6">
        <v>45378</v>
      </c>
      <c r="C18" s="5" t="s">
        <v>49</v>
      </c>
      <c r="D18" s="5" t="s">
        <v>39</v>
      </c>
      <c r="E18" s="5">
        <v>4</v>
      </c>
      <c r="F18" s="7">
        <v>20</v>
      </c>
      <c r="G18" s="5" t="s">
        <v>20</v>
      </c>
      <c r="H18" s="5" t="s">
        <v>21</v>
      </c>
      <c r="I18" s="5">
        <v>4</v>
      </c>
      <c r="J18" s="7">
        <v>80</v>
      </c>
      <c r="K18" s="7">
        <v>32</v>
      </c>
      <c r="L18" s="7">
        <v>48</v>
      </c>
      <c r="M18" s="5" t="s">
        <v>17</v>
      </c>
      <c r="N18" s="5" t="s">
        <v>23</v>
      </c>
    </row>
    <row r="19" spans="1:14" x14ac:dyDescent="0.3">
      <c r="A19" s="5">
        <v>1014</v>
      </c>
      <c r="B19" s="6">
        <v>45380</v>
      </c>
      <c r="C19" s="5" t="s">
        <v>50</v>
      </c>
      <c r="D19" s="5" t="s">
        <v>14</v>
      </c>
      <c r="E19" s="5">
        <v>1</v>
      </c>
      <c r="F19" s="7">
        <v>42</v>
      </c>
      <c r="G19" s="5" t="s">
        <v>15</v>
      </c>
      <c r="H19" s="5" t="s">
        <v>16</v>
      </c>
      <c r="I19" s="5">
        <v>4</v>
      </c>
      <c r="J19" s="7">
        <v>42</v>
      </c>
      <c r="K19" s="7">
        <v>18</v>
      </c>
      <c r="L19" s="7">
        <v>24</v>
      </c>
      <c r="M19" s="5" t="s">
        <v>25</v>
      </c>
      <c r="N19" s="5" t="s">
        <v>23</v>
      </c>
    </row>
    <row r="20" spans="1:14" x14ac:dyDescent="0.3">
      <c r="A20" s="5">
        <v>1015</v>
      </c>
      <c r="B20" s="6">
        <v>45381</v>
      </c>
      <c r="C20" s="5" t="s">
        <v>51</v>
      </c>
      <c r="D20" s="5" t="s">
        <v>37</v>
      </c>
      <c r="E20" s="5">
        <v>5</v>
      </c>
      <c r="F20" s="7">
        <v>8</v>
      </c>
      <c r="G20" s="5" t="s">
        <v>34</v>
      </c>
      <c r="H20" s="5" t="s">
        <v>28</v>
      </c>
      <c r="I20" s="5">
        <v>5</v>
      </c>
      <c r="J20" s="7">
        <v>40</v>
      </c>
      <c r="K20" s="7">
        <v>15</v>
      </c>
      <c r="L20" s="7">
        <v>25</v>
      </c>
      <c r="M20" s="5" t="s">
        <v>29</v>
      </c>
      <c r="N20" s="5" t="s">
        <v>23</v>
      </c>
    </row>
    <row r="21" spans="1:14" x14ac:dyDescent="0.3">
      <c r="A21" s="5">
        <v>1016</v>
      </c>
      <c r="B21" s="6">
        <v>45384</v>
      </c>
      <c r="C21" s="5" t="s">
        <v>52</v>
      </c>
      <c r="D21" s="5" t="s">
        <v>37</v>
      </c>
      <c r="E21" s="5">
        <v>3</v>
      </c>
      <c r="F21" s="7">
        <v>12</v>
      </c>
      <c r="G21" s="5" t="s">
        <v>26</v>
      </c>
      <c r="H21" s="5" t="s">
        <v>28</v>
      </c>
      <c r="I21" s="5">
        <v>5</v>
      </c>
      <c r="J21" s="7">
        <v>36</v>
      </c>
      <c r="K21" s="7">
        <v>15</v>
      </c>
      <c r="L21" s="7">
        <v>21</v>
      </c>
      <c r="M21" s="5" t="s">
        <v>22</v>
      </c>
      <c r="N21" s="5" t="s">
        <v>23</v>
      </c>
    </row>
    <row r="22" spans="1:14" x14ac:dyDescent="0.3">
      <c r="A22" s="5">
        <v>1017</v>
      </c>
      <c r="B22" s="6">
        <v>45387</v>
      </c>
      <c r="C22" s="5" t="s">
        <v>53</v>
      </c>
      <c r="D22" s="5" t="s">
        <v>19</v>
      </c>
      <c r="E22" s="5">
        <v>2</v>
      </c>
      <c r="F22" s="7">
        <v>18</v>
      </c>
      <c r="G22" s="5" t="s">
        <v>31</v>
      </c>
      <c r="H22" s="5" t="s">
        <v>21</v>
      </c>
      <c r="I22" s="5">
        <v>4</v>
      </c>
      <c r="J22" s="7">
        <v>36</v>
      </c>
      <c r="K22" s="7">
        <v>16</v>
      </c>
      <c r="L22" s="7">
        <v>20</v>
      </c>
      <c r="M22" s="5" t="s">
        <v>32</v>
      </c>
      <c r="N22" s="5" t="s">
        <v>23</v>
      </c>
    </row>
    <row r="23" spans="1:14" x14ac:dyDescent="0.3">
      <c r="A23" s="5">
        <v>1018</v>
      </c>
      <c r="B23" s="6">
        <v>45390</v>
      </c>
      <c r="C23" s="5" t="s">
        <v>54</v>
      </c>
      <c r="D23" s="5" t="s">
        <v>24</v>
      </c>
      <c r="E23" s="5">
        <v>1</v>
      </c>
      <c r="F23" s="7">
        <v>95</v>
      </c>
      <c r="G23" s="5" t="s">
        <v>15</v>
      </c>
      <c r="H23" s="5" t="s">
        <v>16</v>
      </c>
      <c r="I23" s="5">
        <v>4</v>
      </c>
      <c r="J23" s="7">
        <v>95</v>
      </c>
      <c r="K23" s="7">
        <v>55</v>
      </c>
      <c r="L23" s="7">
        <v>40</v>
      </c>
      <c r="M23" s="5" t="s">
        <v>17</v>
      </c>
      <c r="N23" s="5" t="s">
        <v>23</v>
      </c>
    </row>
    <row r="24" spans="1:14" x14ac:dyDescent="0.3">
      <c r="A24" s="5">
        <v>1019</v>
      </c>
      <c r="B24" s="6">
        <v>45392</v>
      </c>
      <c r="C24" s="5" t="s">
        <v>55</v>
      </c>
      <c r="D24" s="5" t="s">
        <v>14</v>
      </c>
      <c r="E24" s="5">
        <v>1</v>
      </c>
      <c r="F24" s="7">
        <v>45</v>
      </c>
      <c r="G24" s="5" t="s">
        <v>20</v>
      </c>
      <c r="H24" s="5" t="s">
        <v>21</v>
      </c>
      <c r="I24" s="5">
        <v>5</v>
      </c>
      <c r="J24" s="7">
        <v>45</v>
      </c>
      <c r="K24" s="7">
        <v>20</v>
      </c>
      <c r="L24" s="7">
        <v>25</v>
      </c>
      <c r="M24" s="5" t="s">
        <v>25</v>
      </c>
      <c r="N24" s="5" t="s">
        <v>23</v>
      </c>
    </row>
    <row r="25" spans="1:14" x14ac:dyDescent="0.3">
      <c r="A25" s="5">
        <v>1020</v>
      </c>
      <c r="B25" s="6">
        <v>45394</v>
      </c>
      <c r="C25" s="5" t="s">
        <v>56</v>
      </c>
      <c r="D25" s="5" t="s">
        <v>27</v>
      </c>
      <c r="E25" s="5">
        <v>1</v>
      </c>
      <c r="F25" s="7">
        <v>60</v>
      </c>
      <c r="G25" s="5" t="s">
        <v>33</v>
      </c>
      <c r="H25" s="5" t="s">
        <v>16</v>
      </c>
      <c r="I25" s="5">
        <v>3</v>
      </c>
      <c r="J25" s="7">
        <v>60</v>
      </c>
      <c r="K25" s="7">
        <v>35</v>
      </c>
      <c r="L25" s="7">
        <v>25</v>
      </c>
      <c r="M25" s="5" t="s">
        <v>29</v>
      </c>
      <c r="N25" s="5" t="s">
        <v>18</v>
      </c>
    </row>
    <row r="26" spans="1:14" x14ac:dyDescent="0.3">
      <c r="A26" s="5">
        <v>1021</v>
      </c>
      <c r="B26" s="6">
        <v>45397</v>
      </c>
      <c r="C26" s="5" t="s">
        <v>57</v>
      </c>
      <c r="D26" s="5" t="s">
        <v>14</v>
      </c>
      <c r="E26" s="5">
        <v>4</v>
      </c>
      <c r="F26" s="7">
        <v>10</v>
      </c>
      <c r="G26" s="5" t="s">
        <v>34</v>
      </c>
      <c r="H26" s="5" t="s">
        <v>28</v>
      </c>
      <c r="I26" s="5">
        <v>5</v>
      </c>
      <c r="J26" s="7">
        <v>40</v>
      </c>
      <c r="K26" s="7">
        <v>16</v>
      </c>
      <c r="L26" s="7">
        <v>24</v>
      </c>
      <c r="M26" s="5" t="s">
        <v>22</v>
      </c>
      <c r="N26" s="5" t="s">
        <v>23</v>
      </c>
    </row>
    <row r="27" spans="1:14" x14ac:dyDescent="0.3">
      <c r="A27" s="5">
        <v>1022</v>
      </c>
      <c r="B27" s="6">
        <v>45399</v>
      </c>
      <c r="C27" s="5" t="s">
        <v>58</v>
      </c>
      <c r="D27" s="5" t="s">
        <v>19</v>
      </c>
      <c r="E27" s="5">
        <v>1</v>
      </c>
      <c r="F27" s="7">
        <v>35</v>
      </c>
      <c r="G27" s="5" t="s">
        <v>26</v>
      </c>
      <c r="H27" s="5" t="s">
        <v>21</v>
      </c>
      <c r="I27" s="5">
        <v>4</v>
      </c>
      <c r="J27" s="7">
        <v>35</v>
      </c>
      <c r="K27" s="7">
        <v>15</v>
      </c>
      <c r="L27" s="7">
        <v>20</v>
      </c>
      <c r="M27" s="5" t="s">
        <v>32</v>
      </c>
      <c r="N27" s="5" t="s">
        <v>23</v>
      </c>
    </row>
    <row r="28" spans="1:14" x14ac:dyDescent="0.3">
      <c r="A28" s="5">
        <v>1023</v>
      </c>
      <c r="B28" s="6">
        <v>45402</v>
      </c>
      <c r="C28" s="5" t="s">
        <v>59</v>
      </c>
      <c r="D28" s="5" t="s">
        <v>19</v>
      </c>
      <c r="E28" s="5">
        <v>2</v>
      </c>
      <c r="F28" s="7">
        <v>15</v>
      </c>
      <c r="G28" s="5" t="s">
        <v>31</v>
      </c>
      <c r="H28" s="5" t="s">
        <v>16</v>
      </c>
      <c r="I28" s="5">
        <v>4</v>
      </c>
      <c r="J28" s="7">
        <v>30</v>
      </c>
      <c r="K28" s="7">
        <v>12</v>
      </c>
      <c r="L28" s="7">
        <v>18</v>
      </c>
      <c r="M28" s="5" t="s">
        <v>17</v>
      </c>
      <c r="N28" s="5" t="s">
        <v>23</v>
      </c>
    </row>
    <row r="29" spans="1:14" x14ac:dyDescent="0.3">
      <c r="A29" s="5">
        <v>1024</v>
      </c>
      <c r="B29" s="6">
        <v>45404</v>
      </c>
      <c r="C29" s="5" t="s">
        <v>60</v>
      </c>
      <c r="D29" s="5" t="s">
        <v>37</v>
      </c>
      <c r="E29" s="5">
        <v>1</v>
      </c>
      <c r="F29" s="7">
        <v>18</v>
      </c>
      <c r="G29" s="5" t="s">
        <v>15</v>
      </c>
      <c r="H29" s="5" t="s">
        <v>28</v>
      </c>
      <c r="I29" s="5">
        <v>3</v>
      </c>
      <c r="J29" s="7">
        <v>18</v>
      </c>
      <c r="K29" s="7">
        <v>8</v>
      </c>
      <c r="L29" s="7">
        <v>10</v>
      </c>
      <c r="M29" s="5" t="s">
        <v>25</v>
      </c>
      <c r="N29" s="5" t="s">
        <v>23</v>
      </c>
    </row>
    <row r="30" spans="1:14" x14ac:dyDescent="0.3">
      <c r="A30" s="5">
        <v>1025</v>
      </c>
      <c r="B30" s="6">
        <v>45407</v>
      </c>
      <c r="C30" s="5" t="s">
        <v>61</v>
      </c>
      <c r="D30" s="5" t="s">
        <v>39</v>
      </c>
      <c r="E30" s="5">
        <v>1</v>
      </c>
      <c r="F30" s="7">
        <v>120</v>
      </c>
      <c r="G30" s="5" t="s">
        <v>20</v>
      </c>
      <c r="H30" s="5" t="s">
        <v>21</v>
      </c>
      <c r="I30" s="5">
        <v>5</v>
      </c>
      <c r="J30" s="7">
        <v>120</v>
      </c>
      <c r="K30" s="7">
        <v>70</v>
      </c>
      <c r="L30" s="7">
        <v>50</v>
      </c>
      <c r="M30" s="5" t="s">
        <v>29</v>
      </c>
      <c r="N30" s="5" t="s">
        <v>23</v>
      </c>
    </row>
    <row r="31" spans="1:14" x14ac:dyDescent="0.3">
      <c r="A31" s="5">
        <v>1026</v>
      </c>
      <c r="B31" s="6">
        <v>45410</v>
      </c>
      <c r="C31" s="5" t="s">
        <v>62</v>
      </c>
      <c r="D31" s="5" t="s">
        <v>39</v>
      </c>
      <c r="E31" s="5">
        <v>5</v>
      </c>
      <c r="F31" s="7">
        <v>6</v>
      </c>
      <c r="G31" s="5" t="s">
        <v>33</v>
      </c>
      <c r="H31" s="5" t="s">
        <v>16</v>
      </c>
      <c r="I31" s="5">
        <v>4</v>
      </c>
      <c r="J31" s="7">
        <v>30</v>
      </c>
      <c r="K31" s="7">
        <v>15</v>
      </c>
      <c r="L31" s="7">
        <v>15</v>
      </c>
      <c r="M31" s="5" t="s">
        <v>22</v>
      </c>
      <c r="N31" s="5" t="s">
        <v>23</v>
      </c>
    </row>
    <row r="32" spans="1:14" x14ac:dyDescent="0.3">
      <c r="A32" s="5">
        <v>1027</v>
      </c>
      <c r="B32" s="6">
        <v>45414</v>
      </c>
      <c r="C32" s="5" t="s">
        <v>63</v>
      </c>
      <c r="D32" s="5" t="s">
        <v>19</v>
      </c>
      <c r="E32" s="5">
        <v>3</v>
      </c>
      <c r="F32" s="7">
        <v>12</v>
      </c>
      <c r="G32" s="5" t="s">
        <v>34</v>
      </c>
      <c r="H32" s="5" t="s">
        <v>21</v>
      </c>
      <c r="I32" s="5">
        <v>5</v>
      </c>
      <c r="J32" s="7">
        <v>36</v>
      </c>
      <c r="K32" s="7">
        <v>15</v>
      </c>
      <c r="L32" s="7">
        <v>21</v>
      </c>
      <c r="M32" s="5" t="s">
        <v>32</v>
      </c>
      <c r="N32" s="5" t="s">
        <v>23</v>
      </c>
    </row>
    <row r="33" spans="1:14" x14ac:dyDescent="0.3">
      <c r="A33" s="5">
        <v>1028</v>
      </c>
      <c r="B33" s="6">
        <v>45417</v>
      </c>
      <c r="C33" s="5" t="s">
        <v>64</v>
      </c>
      <c r="D33" s="5" t="s">
        <v>14</v>
      </c>
      <c r="E33" s="5">
        <v>1</v>
      </c>
      <c r="F33" s="7">
        <v>30</v>
      </c>
      <c r="G33" s="5" t="s">
        <v>26</v>
      </c>
      <c r="H33" s="5" t="s">
        <v>16</v>
      </c>
      <c r="I33" s="5">
        <v>4</v>
      </c>
      <c r="J33" s="7">
        <v>30</v>
      </c>
      <c r="K33" s="7">
        <v>14</v>
      </c>
      <c r="L33" s="7">
        <v>16</v>
      </c>
      <c r="M33" s="5" t="s">
        <v>17</v>
      </c>
      <c r="N33" s="5" t="s">
        <v>18</v>
      </c>
    </row>
    <row r="34" spans="1:14" x14ac:dyDescent="0.3">
      <c r="A34" s="5">
        <v>1029</v>
      </c>
      <c r="B34" s="6">
        <v>45420</v>
      </c>
      <c r="C34" s="5" t="s">
        <v>65</v>
      </c>
      <c r="D34" s="5" t="s">
        <v>14</v>
      </c>
      <c r="E34" s="5">
        <v>2</v>
      </c>
      <c r="F34" s="7">
        <v>25</v>
      </c>
      <c r="G34" s="5" t="s">
        <v>31</v>
      </c>
      <c r="H34" s="5" t="s">
        <v>28</v>
      </c>
      <c r="I34" s="5">
        <v>5</v>
      </c>
      <c r="J34" s="7">
        <v>50</v>
      </c>
      <c r="K34" s="7">
        <v>22</v>
      </c>
      <c r="L34" s="7">
        <v>28</v>
      </c>
      <c r="M34" s="5" t="s">
        <v>25</v>
      </c>
      <c r="N34" s="5" t="s">
        <v>23</v>
      </c>
    </row>
    <row r="35" spans="1:14" x14ac:dyDescent="0.3">
      <c r="A35" s="5">
        <v>1030</v>
      </c>
      <c r="B35" s="6">
        <v>45422</v>
      </c>
      <c r="C35" s="5" t="s">
        <v>66</v>
      </c>
      <c r="D35" s="5" t="s">
        <v>19</v>
      </c>
      <c r="E35" s="5">
        <v>1</v>
      </c>
      <c r="F35" s="7">
        <v>22</v>
      </c>
      <c r="G35" s="5" t="s">
        <v>15</v>
      </c>
      <c r="H35" s="5" t="s">
        <v>21</v>
      </c>
      <c r="I35" s="5">
        <v>4</v>
      </c>
      <c r="J35" s="7">
        <v>22</v>
      </c>
      <c r="K35" s="7">
        <v>10</v>
      </c>
      <c r="L35" s="7">
        <v>12</v>
      </c>
      <c r="M35" s="5" t="s">
        <v>29</v>
      </c>
      <c r="N35" s="5" t="s">
        <v>23</v>
      </c>
    </row>
    <row r="36" spans="1:14" x14ac:dyDescent="0.3">
      <c r="A36" s="5">
        <v>1031</v>
      </c>
      <c r="B36" s="6">
        <v>45424</v>
      </c>
      <c r="C36" s="5" t="s">
        <v>67</v>
      </c>
      <c r="D36" s="5" t="s">
        <v>39</v>
      </c>
      <c r="E36" s="5">
        <v>2</v>
      </c>
      <c r="F36" s="7">
        <v>8</v>
      </c>
      <c r="G36" s="5" t="s">
        <v>20</v>
      </c>
      <c r="H36" s="5" t="s">
        <v>16</v>
      </c>
      <c r="I36" s="5">
        <v>3</v>
      </c>
      <c r="J36" s="7">
        <v>16</v>
      </c>
      <c r="K36" s="7">
        <v>6</v>
      </c>
      <c r="L36" s="7">
        <v>10</v>
      </c>
      <c r="M36" s="5" t="s">
        <v>22</v>
      </c>
      <c r="N36" s="5" t="s">
        <v>23</v>
      </c>
    </row>
    <row r="37" spans="1:14" x14ac:dyDescent="0.3">
      <c r="A37" s="5">
        <v>1032</v>
      </c>
      <c r="B37" s="6">
        <v>45427</v>
      </c>
      <c r="C37" s="5" t="s">
        <v>68</v>
      </c>
      <c r="D37" s="5" t="s">
        <v>37</v>
      </c>
      <c r="E37" s="5">
        <v>1</v>
      </c>
      <c r="F37" s="7">
        <v>28</v>
      </c>
      <c r="G37" s="5" t="s">
        <v>33</v>
      </c>
      <c r="H37" s="5" t="s">
        <v>28</v>
      </c>
      <c r="I37" s="5">
        <v>4</v>
      </c>
      <c r="J37" s="7">
        <v>28</v>
      </c>
      <c r="K37" s="7">
        <v>12</v>
      </c>
      <c r="L37" s="7">
        <v>16</v>
      </c>
      <c r="M37" s="5" t="s">
        <v>32</v>
      </c>
      <c r="N37" s="5" t="s">
        <v>23</v>
      </c>
    </row>
    <row r="38" spans="1:14" x14ac:dyDescent="0.3">
      <c r="A38" s="5">
        <v>1033</v>
      </c>
      <c r="B38" s="6">
        <v>45430</v>
      </c>
      <c r="C38" s="5" t="s">
        <v>69</v>
      </c>
      <c r="D38" s="5" t="s">
        <v>37</v>
      </c>
      <c r="E38" s="5">
        <v>1</v>
      </c>
      <c r="F38" s="7">
        <v>20</v>
      </c>
      <c r="G38" s="5" t="s">
        <v>34</v>
      </c>
      <c r="H38" s="5" t="s">
        <v>21</v>
      </c>
      <c r="I38" s="5">
        <v>5</v>
      </c>
      <c r="J38" s="7">
        <v>20</v>
      </c>
      <c r="K38" s="7">
        <v>9</v>
      </c>
      <c r="L38" s="7">
        <v>11</v>
      </c>
      <c r="M38" s="5" t="s">
        <v>17</v>
      </c>
      <c r="N38" s="5" t="s">
        <v>23</v>
      </c>
    </row>
    <row r="39" spans="1:14" x14ac:dyDescent="0.3">
      <c r="A39" s="5">
        <v>1034</v>
      </c>
      <c r="B39" s="6">
        <v>45432</v>
      </c>
      <c r="C39" s="5" t="s">
        <v>70</v>
      </c>
      <c r="D39" s="5" t="s">
        <v>39</v>
      </c>
      <c r="E39" s="5">
        <v>1</v>
      </c>
      <c r="F39" s="7">
        <v>150</v>
      </c>
      <c r="G39" s="5" t="s">
        <v>26</v>
      </c>
      <c r="H39" s="5" t="s">
        <v>16</v>
      </c>
      <c r="I39" s="5">
        <v>4</v>
      </c>
      <c r="J39" s="7">
        <v>150</v>
      </c>
      <c r="K39" s="7">
        <v>90</v>
      </c>
      <c r="L39" s="7">
        <v>60</v>
      </c>
      <c r="M39" s="5" t="s">
        <v>25</v>
      </c>
      <c r="N39" s="5" t="s">
        <v>23</v>
      </c>
    </row>
    <row r="40" spans="1:14" x14ac:dyDescent="0.3">
      <c r="A40" s="5">
        <v>1035</v>
      </c>
      <c r="B40" s="6">
        <v>45434</v>
      </c>
      <c r="C40" s="5" t="s">
        <v>71</v>
      </c>
      <c r="D40" s="5" t="s">
        <v>39</v>
      </c>
      <c r="E40" s="5">
        <v>1</v>
      </c>
      <c r="F40" s="7">
        <v>300</v>
      </c>
      <c r="G40" s="5" t="s">
        <v>31</v>
      </c>
      <c r="H40" s="5" t="s">
        <v>21</v>
      </c>
      <c r="I40" s="5">
        <v>5</v>
      </c>
      <c r="J40" s="7">
        <v>300</v>
      </c>
      <c r="K40" s="7">
        <v>180</v>
      </c>
      <c r="L40" s="7">
        <v>120</v>
      </c>
      <c r="M40" s="5" t="s">
        <v>29</v>
      </c>
      <c r="N40" s="5" t="s">
        <v>23</v>
      </c>
    </row>
    <row r="41" spans="1:14" x14ac:dyDescent="0.3">
      <c r="A41" s="5">
        <v>1036</v>
      </c>
      <c r="B41" s="6">
        <v>45437</v>
      </c>
      <c r="C41" s="5" t="s">
        <v>72</v>
      </c>
      <c r="D41" s="5" t="s">
        <v>19</v>
      </c>
      <c r="E41" s="5">
        <v>1</v>
      </c>
      <c r="F41" s="7">
        <v>85</v>
      </c>
      <c r="G41" s="5" t="s">
        <v>15</v>
      </c>
      <c r="H41" s="5" t="s">
        <v>28</v>
      </c>
      <c r="I41" s="5">
        <v>4</v>
      </c>
      <c r="J41" s="7">
        <v>85</v>
      </c>
      <c r="K41" s="7">
        <v>45</v>
      </c>
      <c r="L41" s="7">
        <v>40</v>
      </c>
      <c r="M41" s="5" t="s">
        <v>22</v>
      </c>
      <c r="N41" s="5" t="s">
        <v>23</v>
      </c>
    </row>
    <row r="42" spans="1:14" x14ac:dyDescent="0.3">
      <c r="A42" s="5">
        <v>1037</v>
      </c>
      <c r="B42" s="6">
        <v>45440</v>
      </c>
      <c r="C42" s="5" t="s">
        <v>73</v>
      </c>
      <c r="D42" s="5" t="s">
        <v>19</v>
      </c>
      <c r="E42" s="5">
        <v>1</v>
      </c>
      <c r="F42" s="7">
        <v>50</v>
      </c>
      <c r="G42" s="5" t="s">
        <v>20</v>
      </c>
      <c r="H42" s="5" t="s">
        <v>16</v>
      </c>
      <c r="I42" s="5">
        <v>4</v>
      </c>
      <c r="J42" s="7">
        <v>50</v>
      </c>
      <c r="K42" s="7">
        <v>25</v>
      </c>
      <c r="L42" s="7">
        <v>25</v>
      </c>
      <c r="M42" s="5" t="s">
        <v>32</v>
      </c>
      <c r="N42" s="5" t="s">
        <v>18</v>
      </c>
    </row>
    <row r="43" spans="1:14" x14ac:dyDescent="0.3">
      <c r="A43" s="5">
        <v>1038</v>
      </c>
      <c r="B43" s="6">
        <v>45442</v>
      </c>
      <c r="C43" s="5" t="s">
        <v>74</v>
      </c>
      <c r="D43" s="5" t="s">
        <v>14</v>
      </c>
      <c r="E43" s="5">
        <v>1</v>
      </c>
      <c r="F43" s="7">
        <v>40</v>
      </c>
      <c r="G43" s="5" t="s">
        <v>33</v>
      </c>
      <c r="H43" s="5" t="s">
        <v>21</v>
      </c>
      <c r="I43" s="5">
        <v>5</v>
      </c>
      <c r="J43" s="7">
        <v>40</v>
      </c>
      <c r="K43" s="7">
        <v>18</v>
      </c>
      <c r="L43" s="7">
        <v>22</v>
      </c>
      <c r="M43" s="5" t="s">
        <v>17</v>
      </c>
      <c r="N43" s="5" t="s">
        <v>23</v>
      </c>
    </row>
    <row r="44" spans="1:14" x14ac:dyDescent="0.3">
      <c r="A44" s="5">
        <v>1039</v>
      </c>
      <c r="B44" s="6">
        <v>45445</v>
      </c>
      <c r="C44" s="5" t="s">
        <v>75</v>
      </c>
      <c r="D44" s="5" t="s">
        <v>14</v>
      </c>
      <c r="E44" s="5">
        <v>2</v>
      </c>
      <c r="F44" s="7">
        <v>35</v>
      </c>
      <c r="G44" s="5" t="s">
        <v>34</v>
      </c>
      <c r="H44" s="5" t="s">
        <v>28</v>
      </c>
      <c r="I44" s="5">
        <v>4</v>
      </c>
      <c r="J44" s="7">
        <v>70</v>
      </c>
      <c r="K44" s="7">
        <v>30</v>
      </c>
      <c r="L44" s="7">
        <v>40</v>
      </c>
      <c r="M44" s="5" t="s">
        <v>25</v>
      </c>
      <c r="N44" s="5" t="s">
        <v>23</v>
      </c>
    </row>
    <row r="45" spans="1:14" x14ac:dyDescent="0.3">
      <c r="A45" s="5">
        <v>1040</v>
      </c>
      <c r="B45" s="6">
        <v>45448</v>
      </c>
      <c r="C45" s="5" t="s">
        <v>76</v>
      </c>
      <c r="D45" s="5" t="s">
        <v>24</v>
      </c>
      <c r="E45" s="5">
        <v>1</v>
      </c>
      <c r="F45" s="7">
        <v>130</v>
      </c>
      <c r="G45" s="5" t="s">
        <v>26</v>
      </c>
      <c r="H45" s="5" t="s">
        <v>16</v>
      </c>
      <c r="I45" s="5">
        <v>5</v>
      </c>
      <c r="J45" s="7">
        <v>130</v>
      </c>
      <c r="K45" s="7">
        <v>80</v>
      </c>
      <c r="L45" s="7">
        <v>50</v>
      </c>
      <c r="M45" s="5" t="s">
        <v>29</v>
      </c>
      <c r="N45" s="5" t="s">
        <v>23</v>
      </c>
    </row>
  </sheetData>
  <autoFilter ref="N1:N46" xr:uid="{4527F623-4CF5-47E3-9B7A-5B9E282DFD68}"/>
  <sortState xmlns:xlrd2="http://schemas.microsoft.com/office/spreadsheetml/2017/richdata2" ref="C1:N45">
    <sortCondition sortBy="icon" ref="N1:N45"/>
  </sortState>
  <dataValidations count="1">
    <dataValidation type="list" allowBlank="1" showInputMessage="1" showErrorMessage="1" sqref="Q4:Q9 T4" xr:uid="{284D2800-AAB5-46D5-824A-4B3824B0C053}">
      <formula1>$D:$D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CAAA-919A-4460-899D-861C56211B17}">
  <dimension ref="A1:J4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4" customWidth="1"/>
    <col min="2" max="2" width="10" customWidth="1"/>
    <col min="3" max="3" width="12" customWidth="1"/>
    <col min="9" max="9" width="17.44140625" customWidth="1"/>
    <col min="10" max="10" width="34.21875" customWidth="1"/>
  </cols>
  <sheetData>
    <row r="1" spans="1:10" ht="27.6" x14ac:dyDescent="0.3">
      <c r="A1" s="1" t="s">
        <v>3</v>
      </c>
      <c r="B1" s="1" t="s">
        <v>4</v>
      </c>
      <c r="C1" s="1" t="s">
        <v>13</v>
      </c>
      <c r="H1" s="1" t="s">
        <v>3</v>
      </c>
      <c r="I1" s="1" t="s">
        <v>86</v>
      </c>
      <c r="J1" s="1" t="s">
        <v>87</v>
      </c>
    </row>
    <row r="2" spans="1:10" x14ac:dyDescent="0.3">
      <c r="A2" s="5" t="s">
        <v>19</v>
      </c>
      <c r="B2" s="5">
        <v>1</v>
      </c>
      <c r="C2" s="5" t="s">
        <v>23</v>
      </c>
      <c r="H2" t="str" cm="1">
        <f t="array" ref="H2:H8">_xlfn.UNIQUE(A2:A105)</f>
        <v>Accesorios</v>
      </c>
      <c r="I2">
        <f>SUMIF(A:A,H2,B:B)</f>
        <v>18</v>
      </c>
      <c r="J2" s="11">
        <f>SUMIFS(B:B,A:A,H2,C:C,"No")</f>
        <v>17</v>
      </c>
    </row>
    <row r="3" spans="1:10" x14ac:dyDescent="0.3">
      <c r="A3" s="5" t="s">
        <v>19</v>
      </c>
      <c r="B3" s="5">
        <v>1</v>
      </c>
      <c r="C3" s="5" t="s">
        <v>23</v>
      </c>
      <c r="H3" t="str">
        <v>Calzado</v>
      </c>
      <c r="I3">
        <f t="shared" ref="I3:I7" si="0">SUMIF(A:A,H3,B:B)</f>
        <v>3</v>
      </c>
      <c r="J3">
        <f t="shared" ref="J3:J7" si="1">SUMIFS(B:B,A:A,H3,C:C,"No")</f>
        <v>2</v>
      </c>
    </row>
    <row r="4" spans="1:10" x14ac:dyDescent="0.3">
      <c r="A4" s="5" t="s">
        <v>19</v>
      </c>
      <c r="B4" s="5">
        <v>3</v>
      </c>
      <c r="C4" s="5" t="s">
        <v>23</v>
      </c>
      <c r="H4" t="str">
        <v>Deportes</v>
      </c>
      <c r="I4">
        <f t="shared" si="0"/>
        <v>15</v>
      </c>
      <c r="J4">
        <f t="shared" si="1"/>
        <v>15</v>
      </c>
    </row>
    <row r="5" spans="1:10" x14ac:dyDescent="0.3">
      <c r="A5" s="5" t="s">
        <v>19</v>
      </c>
      <c r="B5" s="5">
        <v>2</v>
      </c>
      <c r="C5" s="5" t="s">
        <v>23</v>
      </c>
      <c r="H5" t="str">
        <v>Electrónica</v>
      </c>
      <c r="I5">
        <f t="shared" si="0"/>
        <v>3</v>
      </c>
      <c r="J5">
        <f t="shared" si="1"/>
        <v>1</v>
      </c>
    </row>
    <row r="6" spans="1:10" x14ac:dyDescent="0.3">
      <c r="A6" s="5" t="s">
        <v>19</v>
      </c>
      <c r="B6" s="5">
        <v>2</v>
      </c>
      <c r="C6" s="5" t="s">
        <v>23</v>
      </c>
      <c r="H6" t="str">
        <v>Fitness</v>
      </c>
      <c r="I6">
        <f t="shared" si="0"/>
        <v>15</v>
      </c>
      <c r="J6">
        <f t="shared" si="1"/>
        <v>15</v>
      </c>
    </row>
    <row r="7" spans="1:10" x14ac:dyDescent="0.3">
      <c r="A7" s="5" t="s">
        <v>19</v>
      </c>
      <c r="B7" s="5">
        <v>1</v>
      </c>
      <c r="C7" s="5" t="s">
        <v>23</v>
      </c>
      <c r="H7" t="str">
        <v>Ropa</v>
      </c>
      <c r="I7">
        <f t="shared" si="0"/>
        <v>13</v>
      </c>
      <c r="J7">
        <f t="shared" si="1"/>
        <v>12</v>
      </c>
    </row>
    <row r="8" spans="1:10" x14ac:dyDescent="0.3">
      <c r="A8" s="5" t="s">
        <v>19</v>
      </c>
      <c r="B8" s="5">
        <v>2</v>
      </c>
      <c r="C8" s="5" t="s">
        <v>23</v>
      </c>
      <c r="H8">
        <v>0</v>
      </c>
    </row>
    <row r="9" spans="1:10" x14ac:dyDescent="0.3">
      <c r="A9" s="5" t="s">
        <v>19</v>
      </c>
      <c r="B9" s="5">
        <v>3</v>
      </c>
      <c r="C9" s="5" t="s">
        <v>23</v>
      </c>
    </row>
    <row r="10" spans="1:10" x14ac:dyDescent="0.3">
      <c r="A10" s="5" t="s">
        <v>19</v>
      </c>
      <c r="B10" s="5">
        <v>1</v>
      </c>
      <c r="C10" s="5" t="s">
        <v>23</v>
      </c>
    </row>
    <row r="11" spans="1:10" x14ac:dyDescent="0.3">
      <c r="A11" s="5" t="s">
        <v>19</v>
      </c>
      <c r="B11" s="5">
        <v>1</v>
      </c>
      <c r="C11" s="5" t="s">
        <v>23</v>
      </c>
    </row>
    <row r="12" spans="1:10" x14ac:dyDescent="0.3">
      <c r="A12" s="5" t="s">
        <v>19</v>
      </c>
      <c r="B12" s="5">
        <v>1</v>
      </c>
      <c r="C12" s="5" t="s">
        <v>18</v>
      </c>
    </row>
    <row r="13" spans="1:10" x14ac:dyDescent="0.3">
      <c r="A13" s="5" t="s">
        <v>24</v>
      </c>
      <c r="B13" s="5">
        <v>1</v>
      </c>
      <c r="C13" s="5" t="s">
        <v>18</v>
      </c>
    </row>
    <row r="14" spans="1:10" x14ac:dyDescent="0.3">
      <c r="A14" s="5" t="s">
        <v>24</v>
      </c>
      <c r="B14" s="5">
        <v>1</v>
      </c>
      <c r="C14" s="5" t="s">
        <v>23</v>
      </c>
    </row>
    <row r="15" spans="1:10" x14ac:dyDescent="0.3">
      <c r="A15" s="5" t="s">
        <v>24</v>
      </c>
      <c r="B15" s="5">
        <v>1</v>
      </c>
      <c r="C15" s="5" t="s">
        <v>23</v>
      </c>
    </row>
    <row r="16" spans="1:10" x14ac:dyDescent="0.3">
      <c r="A16" s="5" t="s">
        <v>39</v>
      </c>
      <c r="B16" s="5">
        <v>1</v>
      </c>
      <c r="C16" s="5" t="s">
        <v>23</v>
      </c>
    </row>
    <row r="17" spans="1:3" x14ac:dyDescent="0.3">
      <c r="A17" s="5" t="s">
        <v>39</v>
      </c>
      <c r="B17" s="5">
        <v>4</v>
      </c>
      <c r="C17" s="5" t="s">
        <v>23</v>
      </c>
    </row>
    <row r="18" spans="1:3" x14ac:dyDescent="0.3">
      <c r="A18" s="5" t="s">
        <v>39</v>
      </c>
      <c r="B18" s="5">
        <v>1</v>
      </c>
      <c r="C18" s="5" t="s">
        <v>23</v>
      </c>
    </row>
    <row r="19" spans="1:3" x14ac:dyDescent="0.3">
      <c r="A19" s="5" t="s">
        <v>39</v>
      </c>
      <c r="B19" s="5">
        <v>5</v>
      </c>
      <c r="C19" s="5" t="s">
        <v>23</v>
      </c>
    </row>
    <row r="20" spans="1:3" x14ac:dyDescent="0.3">
      <c r="A20" s="5" t="s">
        <v>39</v>
      </c>
      <c r="B20" s="5">
        <v>2</v>
      </c>
      <c r="C20" s="5" t="s">
        <v>23</v>
      </c>
    </row>
    <row r="21" spans="1:3" x14ac:dyDescent="0.3">
      <c r="A21" s="5" t="s">
        <v>39</v>
      </c>
      <c r="B21" s="5">
        <v>1</v>
      </c>
      <c r="C21" s="5" t="s">
        <v>23</v>
      </c>
    </row>
    <row r="22" spans="1:3" x14ac:dyDescent="0.3">
      <c r="A22" s="5" t="s">
        <v>39</v>
      </c>
      <c r="B22" s="5">
        <v>1</v>
      </c>
      <c r="C22" s="5" t="s">
        <v>23</v>
      </c>
    </row>
    <row r="23" spans="1:3" x14ac:dyDescent="0.3">
      <c r="A23" s="5" t="s">
        <v>27</v>
      </c>
      <c r="B23" s="5">
        <v>1</v>
      </c>
      <c r="C23" s="5" t="s">
        <v>23</v>
      </c>
    </row>
    <row r="24" spans="1:3" x14ac:dyDescent="0.3">
      <c r="A24" s="5" t="s">
        <v>27</v>
      </c>
      <c r="B24" s="5">
        <v>1</v>
      </c>
      <c r="C24" s="5" t="s">
        <v>18</v>
      </c>
    </row>
    <row r="25" spans="1:3" x14ac:dyDescent="0.3">
      <c r="A25" s="5" t="s">
        <v>27</v>
      </c>
      <c r="B25" s="5">
        <v>1</v>
      </c>
      <c r="C25" s="5" t="s">
        <v>18</v>
      </c>
    </row>
    <row r="26" spans="1:3" x14ac:dyDescent="0.3">
      <c r="A26" s="5" t="s">
        <v>37</v>
      </c>
      <c r="B26" s="5">
        <v>2</v>
      </c>
      <c r="C26" s="5" t="s">
        <v>23</v>
      </c>
    </row>
    <row r="27" spans="1:3" x14ac:dyDescent="0.3">
      <c r="A27" s="5" t="s">
        <v>37</v>
      </c>
      <c r="B27" s="5">
        <v>1</v>
      </c>
      <c r="C27" s="5" t="s">
        <v>23</v>
      </c>
    </row>
    <row r="28" spans="1:3" x14ac:dyDescent="0.3">
      <c r="A28" s="5" t="s">
        <v>37</v>
      </c>
      <c r="B28" s="5">
        <v>1</v>
      </c>
      <c r="C28" s="5" t="s">
        <v>23</v>
      </c>
    </row>
    <row r="29" spans="1:3" x14ac:dyDescent="0.3">
      <c r="A29" s="5" t="s">
        <v>37</v>
      </c>
      <c r="B29" s="5">
        <v>5</v>
      </c>
      <c r="C29" s="5" t="s">
        <v>23</v>
      </c>
    </row>
    <row r="30" spans="1:3" x14ac:dyDescent="0.3">
      <c r="A30" s="5" t="s">
        <v>37</v>
      </c>
      <c r="B30" s="5">
        <v>3</v>
      </c>
      <c r="C30" s="5" t="s">
        <v>23</v>
      </c>
    </row>
    <row r="31" spans="1:3" x14ac:dyDescent="0.3">
      <c r="A31" s="5" t="s">
        <v>37</v>
      </c>
      <c r="B31" s="5">
        <v>1</v>
      </c>
      <c r="C31" s="5" t="s">
        <v>23</v>
      </c>
    </row>
    <row r="32" spans="1:3" x14ac:dyDescent="0.3">
      <c r="A32" s="5" t="s">
        <v>37</v>
      </c>
      <c r="B32" s="5">
        <v>1</v>
      </c>
      <c r="C32" s="5" t="s">
        <v>23</v>
      </c>
    </row>
    <row r="33" spans="1:3" x14ac:dyDescent="0.3">
      <c r="A33" s="5" t="s">
        <v>37</v>
      </c>
      <c r="B33" s="5">
        <v>1</v>
      </c>
      <c r="C33" s="5" t="s">
        <v>23</v>
      </c>
    </row>
    <row r="34" spans="1:3" x14ac:dyDescent="0.3">
      <c r="A34" s="5" t="s">
        <v>14</v>
      </c>
      <c r="B34" s="5">
        <v>1</v>
      </c>
      <c r="C34" s="5" t="s">
        <v>23</v>
      </c>
    </row>
    <row r="35" spans="1:3" x14ac:dyDescent="0.3">
      <c r="A35" s="5" t="s">
        <v>14</v>
      </c>
      <c r="B35" s="5">
        <v>1</v>
      </c>
      <c r="C35" s="5" t="s">
        <v>23</v>
      </c>
    </row>
    <row r="36" spans="1:3" x14ac:dyDescent="0.3">
      <c r="A36" s="5" t="s">
        <v>14</v>
      </c>
      <c r="B36" s="5">
        <v>1</v>
      </c>
      <c r="C36" s="5" t="s">
        <v>23</v>
      </c>
    </row>
    <row r="37" spans="1:3" x14ac:dyDescent="0.3">
      <c r="A37" s="5" t="s">
        <v>14</v>
      </c>
      <c r="B37" s="5">
        <v>4</v>
      </c>
      <c r="C37" s="5" t="s">
        <v>23</v>
      </c>
    </row>
    <row r="38" spans="1:3" x14ac:dyDescent="0.3">
      <c r="A38" s="5" t="s">
        <v>14</v>
      </c>
      <c r="B38" s="5">
        <v>1</v>
      </c>
      <c r="C38" s="5" t="s">
        <v>18</v>
      </c>
    </row>
    <row r="39" spans="1:3" x14ac:dyDescent="0.3">
      <c r="A39" s="5" t="s">
        <v>14</v>
      </c>
      <c r="B39" s="5">
        <v>2</v>
      </c>
      <c r="C39" s="5" t="s">
        <v>23</v>
      </c>
    </row>
    <row r="40" spans="1:3" x14ac:dyDescent="0.3">
      <c r="A40" s="5" t="s">
        <v>14</v>
      </c>
      <c r="B40" s="5">
        <v>1</v>
      </c>
      <c r="C40" s="5" t="s">
        <v>23</v>
      </c>
    </row>
    <row r="41" spans="1:3" x14ac:dyDescent="0.3">
      <c r="A41" s="5" t="s">
        <v>14</v>
      </c>
      <c r="B41" s="5">
        <v>2</v>
      </c>
      <c r="C41" s="5" t="s">
        <v>23</v>
      </c>
    </row>
  </sheetData>
  <autoFilter ref="J1:J41" xr:uid="{B303CAAA-919A-4460-899D-861C56211B17}"/>
  <sortState xmlns:xlrd2="http://schemas.microsoft.com/office/spreadsheetml/2017/richdata2" ref="A2:C42">
    <sortCondition ref="A1:A4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4359-2BAD-426D-A1BF-7367861730B9}">
  <dimension ref="A1:B7"/>
  <sheetViews>
    <sheetView workbookViewId="0">
      <selection activeCell="B2" sqref="B2"/>
    </sheetView>
  </sheetViews>
  <sheetFormatPr baseColWidth="10" defaultRowHeight="14.4" x14ac:dyDescent="0.3"/>
  <cols>
    <col min="2" max="2" width="19.21875" bestFit="1" customWidth="1"/>
  </cols>
  <sheetData>
    <row r="1" spans="1:2" ht="18" x14ac:dyDescent="0.35">
      <c r="A1" s="14" t="s">
        <v>88</v>
      </c>
      <c r="B1" s="14" t="s">
        <v>86</v>
      </c>
    </row>
    <row r="2" spans="1:2" x14ac:dyDescent="0.3">
      <c r="A2" t="str" cm="1">
        <f t="array" ref="A2:A7">_xlfn.UNIQUE(Tabla2[Categoría])</f>
        <v>Fitness</v>
      </c>
      <c r="B2">
        <f>SUMIFS(Tabla2[Unidades],Tabla2[Categoría],A2,Tabla2[Devolución],"No")</f>
        <v>15</v>
      </c>
    </row>
    <row r="3" spans="1:2" x14ac:dyDescent="0.3">
      <c r="A3" t="str">
        <v>Deportes</v>
      </c>
      <c r="B3">
        <f>SUMIFS(Tabla2[Unidades],Tabla2[Categoría],A3,Tabla2[Devolución],"No")</f>
        <v>15</v>
      </c>
    </row>
    <row r="4" spans="1:2" x14ac:dyDescent="0.3">
      <c r="A4" t="str">
        <v>Ropa</v>
      </c>
      <c r="B4">
        <f>SUMIFS(Tabla2[Unidades],Tabla2[Categoría],A4,Tabla2[Devolución],"No")</f>
        <v>12</v>
      </c>
    </row>
    <row r="5" spans="1:2" x14ac:dyDescent="0.3">
      <c r="A5" t="str">
        <v>Accesorios</v>
      </c>
      <c r="B5">
        <f>SUMIFS(Tabla2[Unidades],Tabla2[Categoría],A5,Tabla2[Devolución],"No")</f>
        <v>17</v>
      </c>
    </row>
    <row r="6" spans="1:2" x14ac:dyDescent="0.3">
      <c r="A6" t="str">
        <v>Calzado</v>
      </c>
      <c r="B6">
        <f>SUMIFS(Tabla2[Unidades],Tabla2[Categoría],A6,Tabla2[Devolución],"No")</f>
        <v>2</v>
      </c>
    </row>
    <row r="7" spans="1:2" x14ac:dyDescent="0.3">
      <c r="A7" t="str">
        <v>Electrónica</v>
      </c>
      <c r="B7">
        <f>SUMIFS(Tabla2[Unidades],Tabla2[Categoría],A7,Tabla2[Devolución],"No")</f>
        <v>1</v>
      </c>
    </row>
  </sheetData>
  <autoFilter ref="A2:B7" xr:uid="{01AF4359-2BAD-426D-A1BF-7367861730B9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979B-C783-4D7C-8806-5807AA26059F}">
  <dimension ref="A1:I20"/>
  <sheetViews>
    <sheetView topLeftCell="A7" workbookViewId="0">
      <selection activeCell="A21" sqref="A21"/>
    </sheetView>
  </sheetViews>
  <sheetFormatPr baseColWidth="10" defaultRowHeight="14.4" x14ac:dyDescent="0.3"/>
  <cols>
    <col min="1" max="1" width="14.44140625" bestFit="1" customWidth="1"/>
    <col min="8" max="8" width="24.109375" bestFit="1" customWidth="1"/>
  </cols>
  <sheetData>
    <row r="1" spans="1:9" x14ac:dyDescent="0.3">
      <c r="A1" t="s">
        <v>89</v>
      </c>
    </row>
    <row r="3" spans="1:9" x14ac:dyDescent="0.3">
      <c r="G3" t="s">
        <v>96</v>
      </c>
      <c r="H3" t="s">
        <v>102</v>
      </c>
    </row>
    <row r="4" spans="1:9" x14ac:dyDescent="0.3">
      <c r="B4" t="s">
        <v>90</v>
      </c>
      <c r="G4" s="16" t="s">
        <v>97</v>
      </c>
      <c r="H4" s="16" t="s">
        <v>98</v>
      </c>
      <c r="I4" s="16" t="s">
        <v>101</v>
      </c>
    </row>
    <row r="5" spans="1:9" x14ac:dyDescent="0.3">
      <c r="G5" t="s">
        <v>99</v>
      </c>
      <c r="H5" t="s">
        <v>100</v>
      </c>
    </row>
    <row r="6" spans="1:9" x14ac:dyDescent="0.3">
      <c r="B6" t="s">
        <v>91</v>
      </c>
    </row>
    <row r="7" spans="1:9" x14ac:dyDescent="0.3">
      <c r="B7">
        <v>0</v>
      </c>
    </row>
    <row r="8" spans="1:9" x14ac:dyDescent="0.3">
      <c r="B8">
        <v>30</v>
      </c>
    </row>
    <row r="9" spans="1:9" x14ac:dyDescent="0.3">
      <c r="B9">
        <v>10</v>
      </c>
    </row>
    <row r="10" spans="1:9" x14ac:dyDescent="0.3">
      <c r="B10">
        <v>0</v>
      </c>
    </row>
    <row r="11" spans="1:9" x14ac:dyDescent="0.3">
      <c r="A11" t="s">
        <v>93</v>
      </c>
      <c r="B11">
        <f>SUM(B7:B10)</f>
        <v>40</v>
      </c>
    </row>
    <row r="12" spans="1:9" x14ac:dyDescent="0.3">
      <c r="A12" t="s">
        <v>94</v>
      </c>
      <c r="B12">
        <f>AVERAGE(B7:B10)</f>
        <v>10</v>
      </c>
      <c r="D12" t="s">
        <v>95</v>
      </c>
      <c r="E12" s="17">
        <f>_xlfn.STDEV.S(B7:B10)</f>
        <v>14.142135623730951</v>
      </c>
    </row>
    <row r="14" spans="1:9" x14ac:dyDescent="0.3">
      <c r="B14" t="s">
        <v>92</v>
      </c>
    </row>
    <row r="15" spans="1:9" x14ac:dyDescent="0.3">
      <c r="B15">
        <v>10</v>
      </c>
    </row>
    <row r="16" spans="1:9" x14ac:dyDescent="0.3">
      <c r="B16">
        <v>10</v>
      </c>
    </row>
    <row r="17" spans="1:5" x14ac:dyDescent="0.3">
      <c r="B17">
        <v>10</v>
      </c>
    </row>
    <row r="18" spans="1:5" x14ac:dyDescent="0.3">
      <c r="B18">
        <v>10</v>
      </c>
    </row>
    <row r="19" spans="1:5" x14ac:dyDescent="0.3">
      <c r="A19" t="s">
        <v>93</v>
      </c>
      <c r="B19">
        <f>SUM(B15:B18)</f>
        <v>40</v>
      </c>
    </row>
    <row r="20" spans="1:5" x14ac:dyDescent="0.3">
      <c r="A20" t="s">
        <v>94</v>
      </c>
      <c r="B20">
        <f>AVERAGE(B15:B18)</f>
        <v>10</v>
      </c>
      <c r="D20" t="s">
        <v>95</v>
      </c>
      <c r="E20" s="18">
        <f>_xlfn.STDEV.S(B15:B18)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6261-91AA-4D1C-A933-A85905F16C57}">
  <dimension ref="A1:M41"/>
  <sheetViews>
    <sheetView workbookViewId="0">
      <selection activeCell="J21" sqref="J21"/>
    </sheetView>
  </sheetViews>
  <sheetFormatPr baseColWidth="10" defaultRowHeight="14.4" x14ac:dyDescent="0.3"/>
  <cols>
    <col min="1" max="1" width="23.21875" bestFit="1" customWidth="1"/>
    <col min="2" max="2" width="11.21875" bestFit="1" customWidth="1"/>
    <col min="3" max="3" width="11.109375" bestFit="1" customWidth="1"/>
    <col min="4" max="4" width="16.21875" bestFit="1" customWidth="1"/>
    <col min="5" max="5" width="10.21875" bestFit="1" customWidth="1"/>
    <col min="6" max="6" width="11" bestFit="1" customWidth="1"/>
    <col min="7" max="7" width="12.6640625" bestFit="1" customWidth="1"/>
    <col min="8" max="8" width="12.6640625" customWidth="1"/>
    <col min="9" max="9" width="24.21875" bestFit="1" customWidth="1"/>
    <col min="10" max="10" width="25.6640625" bestFit="1" customWidth="1"/>
    <col min="12" max="12" width="30" bestFit="1" customWidth="1"/>
  </cols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9</v>
      </c>
      <c r="F1" t="s">
        <v>11</v>
      </c>
      <c r="G1" t="s">
        <v>13</v>
      </c>
    </row>
    <row r="2" spans="1:12" x14ac:dyDescent="0.3">
      <c r="A2" t="s">
        <v>51</v>
      </c>
      <c r="B2" t="s">
        <v>37</v>
      </c>
      <c r="C2">
        <v>5</v>
      </c>
      <c r="D2">
        <v>8</v>
      </c>
      <c r="E2">
        <v>40</v>
      </c>
      <c r="F2">
        <v>25</v>
      </c>
      <c r="G2" t="s">
        <v>23</v>
      </c>
    </row>
    <row r="3" spans="1:12" x14ac:dyDescent="0.3">
      <c r="A3" t="s">
        <v>62</v>
      </c>
      <c r="B3" t="s">
        <v>39</v>
      </c>
      <c r="C3">
        <v>5</v>
      </c>
      <c r="D3">
        <v>6</v>
      </c>
      <c r="E3">
        <v>30</v>
      </c>
      <c r="F3">
        <v>15</v>
      </c>
      <c r="G3" t="s">
        <v>23</v>
      </c>
    </row>
    <row r="4" spans="1:12" x14ac:dyDescent="0.3">
      <c r="A4" t="s">
        <v>49</v>
      </c>
      <c r="B4" t="s">
        <v>39</v>
      </c>
      <c r="C4">
        <v>4</v>
      </c>
      <c r="D4">
        <v>20</v>
      </c>
      <c r="E4">
        <v>80</v>
      </c>
      <c r="F4">
        <v>48</v>
      </c>
      <c r="G4" t="s">
        <v>23</v>
      </c>
    </row>
    <row r="5" spans="1:12" x14ac:dyDescent="0.3">
      <c r="A5" t="s">
        <v>57</v>
      </c>
      <c r="B5" t="s">
        <v>14</v>
      </c>
      <c r="C5">
        <v>4</v>
      </c>
      <c r="D5">
        <v>10</v>
      </c>
      <c r="E5">
        <v>40</v>
      </c>
      <c r="F5">
        <v>24</v>
      </c>
      <c r="G5" t="s">
        <v>23</v>
      </c>
      <c r="K5" s="15"/>
    </row>
    <row r="6" spans="1:12" x14ac:dyDescent="0.3">
      <c r="A6" t="s">
        <v>44</v>
      </c>
      <c r="B6" t="s">
        <v>19</v>
      </c>
      <c r="C6">
        <v>3</v>
      </c>
      <c r="D6">
        <v>15</v>
      </c>
      <c r="E6">
        <v>45</v>
      </c>
      <c r="F6">
        <v>27</v>
      </c>
      <c r="G6" t="s">
        <v>23</v>
      </c>
    </row>
    <row r="7" spans="1:12" ht="18" x14ac:dyDescent="0.35">
      <c r="A7" t="s">
        <v>52</v>
      </c>
      <c r="B7" t="s">
        <v>37</v>
      </c>
      <c r="C7">
        <v>3</v>
      </c>
      <c r="D7">
        <v>12</v>
      </c>
      <c r="E7">
        <v>36</v>
      </c>
      <c r="F7">
        <v>21</v>
      </c>
      <c r="G7" t="s">
        <v>23</v>
      </c>
      <c r="J7" s="21" t="s">
        <v>105</v>
      </c>
      <c r="K7" s="22">
        <f>SUMIFS(Tabla2_2[Unidades],Tabla2_2[Devolución],"No")</f>
        <v>62</v>
      </c>
    </row>
    <row r="8" spans="1:12" ht="18" x14ac:dyDescent="0.35">
      <c r="A8" t="s">
        <v>63</v>
      </c>
      <c r="B8" t="s">
        <v>19</v>
      </c>
      <c r="C8">
        <v>3</v>
      </c>
      <c r="D8">
        <v>12</v>
      </c>
      <c r="E8">
        <v>36</v>
      </c>
      <c r="F8">
        <v>21</v>
      </c>
      <c r="G8" t="s">
        <v>23</v>
      </c>
      <c r="J8" s="21" t="s">
        <v>104</v>
      </c>
      <c r="K8" s="22">
        <f>SUMIFS(Tabla2_2[Ingresos],Tabla2_2[Devolución],"No")</f>
        <v>2363.5</v>
      </c>
    </row>
    <row r="9" spans="1:12" ht="18" x14ac:dyDescent="0.35">
      <c r="A9" t="s">
        <v>36</v>
      </c>
      <c r="B9" t="s">
        <v>37</v>
      </c>
      <c r="C9">
        <v>2</v>
      </c>
      <c r="D9">
        <v>18</v>
      </c>
      <c r="E9">
        <v>36</v>
      </c>
      <c r="F9">
        <v>22</v>
      </c>
      <c r="G9" t="s">
        <v>23</v>
      </c>
      <c r="J9" s="21" t="s">
        <v>106</v>
      </c>
      <c r="K9" s="22">
        <f>SUMIFS(Tabla2_2[Beneficio],Tabla2_2[Devolución],"No")</f>
        <v>1119.5</v>
      </c>
    </row>
    <row r="10" spans="1:12" ht="18" x14ac:dyDescent="0.35">
      <c r="A10" t="s">
        <v>46</v>
      </c>
      <c r="B10" t="s">
        <v>19</v>
      </c>
      <c r="C10">
        <v>2</v>
      </c>
      <c r="D10">
        <v>65</v>
      </c>
      <c r="E10">
        <v>130</v>
      </c>
      <c r="F10">
        <v>60</v>
      </c>
      <c r="G10" t="s">
        <v>23</v>
      </c>
      <c r="J10" s="21" t="s">
        <v>103</v>
      </c>
      <c r="K10" s="22">
        <f>SUMIFS(Tabla2_2[Unidades],Tabla2_2[Devolución],"Sí")</f>
        <v>5</v>
      </c>
      <c r="L10" s="22">
        <f>COUNTIF(Tabla2_2[Devolución],"Sí")</f>
        <v>5</v>
      </c>
    </row>
    <row r="11" spans="1:12" ht="18" x14ac:dyDescent="0.35">
      <c r="A11" t="s">
        <v>53</v>
      </c>
      <c r="B11" t="s">
        <v>19</v>
      </c>
      <c r="C11">
        <v>2</v>
      </c>
      <c r="D11">
        <v>18</v>
      </c>
      <c r="E11">
        <v>36</v>
      </c>
      <c r="F11">
        <v>20</v>
      </c>
      <c r="G11" t="s">
        <v>23</v>
      </c>
      <c r="J11" s="21" t="s">
        <v>107</v>
      </c>
      <c r="K11" s="23">
        <f>K9/K8</f>
        <v>0.47366194203511741</v>
      </c>
    </row>
    <row r="12" spans="1:12" ht="18" x14ac:dyDescent="0.35">
      <c r="A12" t="s">
        <v>59</v>
      </c>
      <c r="B12" t="s">
        <v>19</v>
      </c>
      <c r="C12">
        <v>2</v>
      </c>
      <c r="D12">
        <v>15</v>
      </c>
      <c r="E12">
        <v>30</v>
      </c>
      <c r="F12">
        <v>18</v>
      </c>
      <c r="G12" t="s">
        <v>23</v>
      </c>
      <c r="J12" s="24" t="s">
        <v>114</v>
      </c>
      <c r="K12" s="24">
        <f>SUM(Datos!K:K)</f>
        <v>1417</v>
      </c>
    </row>
    <row r="13" spans="1:12" ht="18" x14ac:dyDescent="0.35">
      <c r="A13" t="s">
        <v>65</v>
      </c>
      <c r="B13" t="s">
        <v>14</v>
      </c>
      <c r="C13">
        <v>2</v>
      </c>
      <c r="D13">
        <v>25</v>
      </c>
      <c r="E13">
        <v>50</v>
      </c>
      <c r="F13">
        <v>28</v>
      </c>
      <c r="G13" t="s">
        <v>23</v>
      </c>
      <c r="J13" s="24"/>
      <c r="K13" s="24"/>
    </row>
    <row r="14" spans="1:12" ht="18" x14ac:dyDescent="0.35">
      <c r="A14" t="s">
        <v>67</v>
      </c>
      <c r="B14" t="s">
        <v>39</v>
      </c>
      <c r="C14">
        <v>2</v>
      </c>
      <c r="D14">
        <v>8</v>
      </c>
      <c r="E14">
        <v>16</v>
      </c>
      <c r="F14">
        <v>10</v>
      </c>
      <c r="G14" t="s">
        <v>23</v>
      </c>
      <c r="J14" s="21" t="s">
        <v>108</v>
      </c>
      <c r="K14" s="25">
        <f>AVERAGEIFS(Tabla2_2[Ingresos],Tabla2_2[Devolución],"No")</f>
        <v>67.528571428571425</v>
      </c>
    </row>
    <row r="15" spans="1:12" ht="18" x14ac:dyDescent="0.35">
      <c r="A15" t="s">
        <v>75</v>
      </c>
      <c r="B15" t="s">
        <v>14</v>
      </c>
      <c r="C15">
        <v>2</v>
      </c>
      <c r="D15">
        <v>35</v>
      </c>
      <c r="E15">
        <v>70</v>
      </c>
      <c r="F15">
        <v>40</v>
      </c>
      <c r="G15" t="s">
        <v>23</v>
      </c>
      <c r="J15" s="21" t="s">
        <v>109</v>
      </c>
      <c r="K15" s="26">
        <f>K16/K17</f>
        <v>0.125</v>
      </c>
    </row>
    <row r="16" spans="1:12" x14ac:dyDescent="0.3">
      <c r="A16" t="s">
        <v>30</v>
      </c>
      <c r="B16" t="s">
        <v>19</v>
      </c>
      <c r="C16">
        <v>1</v>
      </c>
      <c r="D16">
        <v>25.5</v>
      </c>
      <c r="E16">
        <v>25.5</v>
      </c>
      <c r="F16">
        <v>15.5</v>
      </c>
      <c r="G16" t="s">
        <v>23</v>
      </c>
      <c r="J16" s="19" t="s">
        <v>110</v>
      </c>
      <c r="K16" s="20">
        <f>COUNTIF(Tabla2_2[Devolución],"Sí")</f>
        <v>5</v>
      </c>
    </row>
    <row r="17" spans="1:13" x14ac:dyDescent="0.3">
      <c r="A17" t="s">
        <v>38</v>
      </c>
      <c r="B17" t="s">
        <v>39</v>
      </c>
      <c r="C17">
        <v>1</v>
      </c>
      <c r="D17">
        <v>85</v>
      </c>
      <c r="E17">
        <v>85</v>
      </c>
      <c r="F17">
        <v>40</v>
      </c>
      <c r="G17" t="s">
        <v>23</v>
      </c>
      <c r="J17" s="19" t="s">
        <v>111</v>
      </c>
      <c r="K17" s="20">
        <f>COUNTA(Tabla2_2[Devolución])</f>
        <v>40</v>
      </c>
    </row>
    <row r="18" spans="1:13" x14ac:dyDescent="0.3">
      <c r="A18" t="s">
        <v>40</v>
      </c>
      <c r="B18" t="s">
        <v>24</v>
      </c>
      <c r="C18">
        <v>1</v>
      </c>
      <c r="D18">
        <v>110</v>
      </c>
      <c r="E18">
        <v>110</v>
      </c>
      <c r="F18">
        <v>50</v>
      </c>
      <c r="G18" t="s">
        <v>18</v>
      </c>
    </row>
    <row r="19" spans="1:13" ht="18" x14ac:dyDescent="0.35">
      <c r="A19" t="s">
        <v>41</v>
      </c>
      <c r="B19" t="s">
        <v>37</v>
      </c>
      <c r="C19">
        <v>1</v>
      </c>
      <c r="D19">
        <v>35</v>
      </c>
      <c r="E19">
        <v>35</v>
      </c>
      <c r="F19">
        <v>20</v>
      </c>
      <c r="G19" t="s">
        <v>23</v>
      </c>
      <c r="I19" t="s">
        <v>117</v>
      </c>
      <c r="J19" s="21" t="s">
        <v>112</v>
      </c>
      <c r="K19" s="27">
        <f>K9/K12</f>
        <v>0.79004940014114322</v>
      </c>
      <c r="L19" t="s">
        <v>113</v>
      </c>
      <c r="M19" t="s">
        <v>116</v>
      </c>
    </row>
    <row r="20" spans="1:13" x14ac:dyDescent="0.3">
      <c r="A20" t="s">
        <v>42</v>
      </c>
      <c r="B20" t="s">
        <v>27</v>
      </c>
      <c r="C20">
        <v>1</v>
      </c>
      <c r="D20">
        <v>250</v>
      </c>
      <c r="E20">
        <v>250</v>
      </c>
      <c r="F20">
        <v>70</v>
      </c>
      <c r="G20" t="s">
        <v>23</v>
      </c>
      <c r="J20" s="19" t="s">
        <v>115</v>
      </c>
      <c r="K20" s="20">
        <f>K8-K12</f>
        <v>946.5</v>
      </c>
    </row>
    <row r="21" spans="1:13" x14ac:dyDescent="0.3">
      <c r="A21" t="s">
        <v>43</v>
      </c>
      <c r="B21" t="s">
        <v>19</v>
      </c>
      <c r="C21">
        <v>1</v>
      </c>
      <c r="D21">
        <v>45</v>
      </c>
      <c r="E21">
        <v>45</v>
      </c>
      <c r="F21">
        <v>25</v>
      </c>
      <c r="G21" t="s">
        <v>23</v>
      </c>
    </row>
    <row r="22" spans="1:13" x14ac:dyDescent="0.3">
      <c r="A22" t="s">
        <v>45</v>
      </c>
      <c r="B22" t="s">
        <v>37</v>
      </c>
      <c r="C22">
        <v>1</v>
      </c>
      <c r="D22">
        <v>90</v>
      </c>
      <c r="E22">
        <v>90</v>
      </c>
      <c r="F22">
        <v>40</v>
      </c>
      <c r="G22" t="s">
        <v>23</v>
      </c>
    </row>
    <row r="23" spans="1:13" x14ac:dyDescent="0.3">
      <c r="A23" t="s">
        <v>47</v>
      </c>
      <c r="B23" t="s">
        <v>14</v>
      </c>
      <c r="C23">
        <v>1</v>
      </c>
      <c r="D23">
        <v>28</v>
      </c>
      <c r="E23">
        <v>28</v>
      </c>
      <c r="F23">
        <v>30</v>
      </c>
      <c r="G23" t="s">
        <v>23</v>
      </c>
    </row>
    <row r="24" spans="1:13" x14ac:dyDescent="0.3">
      <c r="A24" t="s">
        <v>48</v>
      </c>
      <c r="B24" t="s">
        <v>27</v>
      </c>
      <c r="C24">
        <v>1</v>
      </c>
      <c r="D24">
        <v>55</v>
      </c>
      <c r="E24">
        <v>55</v>
      </c>
      <c r="F24">
        <v>30</v>
      </c>
      <c r="G24" t="s">
        <v>18</v>
      </c>
    </row>
    <row r="25" spans="1:13" x14ac:dyDescent="0.3">
      <c r="A25" t="s">
        <v>50</v>
      </c>
      <c r="B25" t="s">
        <v>14</v>
      </c>
      <c r="C25">
        <v>1</v>
      </c>
      <c r="D25">
        <v>42</v>
      </c>
      <c r="E25">
        <v>42</v>
      </c>
      <c r="F25">
        <v>24</v>
      </c>
      <c r="G25" t="s">
        <v>23</v>
      </c>
    </row>
    <row r="26" spans="1:13" x14ac:dyDescent="0.3">
      <c r="A26" t="s">
        <v>54</v>
      </c>
      <c r="B26" t="s">
        <v>24</v>
      </c>
      <c r="C26">
        <v>1</v>
      </c>
      <c r="D26">
        <v>95</v>
      </c>
      <c r="E26">
        <v>95</v>
      </c>
      <c r="F26">
        <v>40</v>
      </c>
      <c r="G26" t="s">
        <v>23</v>
      </c>
    </row>
    <row r="27" spans="1:13" x14ac:dyDescent="0.3">
      <c r="A27" t="s">
        <v>55</v>
      </c>
      <c r="B27" t="s">
        <v>14</v>
      </c>
      <c r="C27">
        <v>1</v>
      </c>
      <c r="D27">
        <v>45</v>
      </c>
      <c r="E27">
        <v>45</v>
      </c>
      <c r="F27">
        <v>25</v>
      </c>
      <c r="G27" t="s">
        <v>23</v>
      </c>
    </row>
    <row r="28" spans="1:13" x14ac:dyDescent="0.3">
      <c r="A28" t="s">
        <v>56</v>
      </c>
      <c r="B28" t="s">
        <v>27</v>
      </c>
      <c r="C28">
        <v>1</v>
      </c>
      <c r="D28">
        <v>60</v>
      </c>
      <c r="E28">
        <v>60</v>
      </c>
      <c r="F28">
        <v>25</v>
      </c>
      <c r="G28" t="s">
        <v>18</v>
      </c>
    </row>
    <row r="29" spans="1:13" x14ac:dyDescent="0.3">
      <c r="A29" t="s">
        <v>58</v>
      </c>
      <c r="B29" t="s">
        <v>19</v>
      </c>
      <c r="C29">
        <v>1</v>
      </c>
      <c r="D29">
        <v>35</v>
      </c>
      <c r="E29">
        <v>35</v>
      </c>
      <c r="F29">
        <v>20</v>
      </c>
      <c r="G29" t="s">
        <v>23</v>
      </c>
    </row>
    <row r="30" spans="1:13" x14ac:dyDescent="0.3">
      <c r="A30" t="s">
        <v>60</v>
      </c>
      <c r="B30" t="s">
        <v>37</v>
      </c>
      <c r="C30">
        <v>1</v>
      </c>
      <c r="D30">
        <v>18</v>
      </c>
      <c r="E30">
        <v>18</v>
      </c>
      <c r="F30">
        <v>10</v>
      </c>
      <c r="G30" t="s">
        <v>23</v>
      </c>
    </row>
    <row r="31" spans="1:13" x14ac:dyDescent="0.3">
      <c r="A31" t="s">
        <v>61</v>
      </c>
      <c r="B31" t="s">
        <v>39</v>
      </c>
      <c r="C31">
        <v>1</v>
      </c>
      <c r="D31">
        <v>120</v>
      </c>
      <c r="E31">
        <v>120</v>
      </c>
      <c r="F31">
        <v>50</v>
      </c>
      <c r="G31" t="s">
        <v>23</v>
      </c>
    </row>
    <row r="32" spans="1:13" x14ac:dyDescent="0.3">
      <c r="A32" t="s">
        <v>64</v>
      </c>
      <c r="B32" t="s">
        <v>14</v>
      </c>
      <c r="C32">
        <v>1</v>
      </c>
      <c r="D32">
        <v>30</v>
      </c>
      <c r="E32">
        <v>30</v>
      </c>
      <c r="F32">
        <v>16</v>
      </c>
      <c r="G32" t="s">
        <v>18</v>
      </c>
    </row>
    <row r="33" spans="1:7" x14ac:dyDescent="0.3">
      <c r="A33" t="s">
        <v>66</v>
      </c>
      <c r="B33" t="s">
        <v>19</v>
      </c>
      <c r="C33">
        <v>1</v>
      </c>
      <c r="D33">
        <v>22</v>
      </c>
      <c r="E33">
        <v>22</v>
      </c>
      <c r="F33">
        <v>12</v>
      </c>
      <c r="G33" t="s">
        <v>23</v>
      </c>
    </row>
    <row r="34" spans="1:7" x14ac:dyDescent="0.3">
      <c r="A34" t="s">
        <v>68</v>
      </c>
      <c r="B34" t="s">
        <v>37</v>
      </c>
      <c r="C34">
        <v>1</v>
      </c>
      <c r="D34">
        <v>28</v>
      </c>
      <c r="E34">
        <v>28</v>
      </c>
      <c r="F34">
        <v>16</v>
      </c>
      <c r="G34" t="s">
        <v>23</v>
      </c>
    </row>
    <row r="35" spans="1:7" x14ac:dyDescent="0.3">
      <c r="A35" t="s">
        <v>69</v>
      </c>
      <c r="B35" t="s">
        <v>37</v>
      </c>
      <c r="C35">
        <v>1</v>
      </c>
      <c r="D35">
        <v>20</v>
      </c>
      <c r="E35">
        <v>20</v>
      </c>
      <c r="F35">
        <v>11</v>
      </c>
      <c r="G35" t="s">
        <v>23</v>
      </c>
    </row>
    <row r="36" spans="1:7" x14ac:dyDescent="0.3">
      <c r="A36" t="s">
        <v>70</v>
      </c>
      <c r="B36" t="s">
        <v>39</v>
      </c>
      <c r="C36">
        <v>1</v>
      </c>
      <c r="D36">
        <v>150</v>
      </c>
      <c r="E36">
        <v>150</v>
      </c>
      <c r="F36">
        <v>60</v>
      </c>
      <c r="G36" t="s">
        <v>23</v>
      </c>
    </row>
    <row r="37" spans="1:7" x14ac:dyDescent="0.3">
      <c r="A37" t="s">
        <v>71</v>
      </c>
      <c r="B37" t="s">
        <v>39</v>
      </c>
      <c r="C37">
        <v>1</v>
      </c>
      <c r="D37">
        <v>300</v>
      </c>
      <c r="E37">
        <v>300</v>
      </c>
      <c r="F37">
        <v>120</v>
      </c>
      <c r="G37" t="s">
        <v>23</v>
      </c>
    </row>
    <row r="38" spans="1:7" x14ac:dyDescent="0.3">
      <c r="A38" t="s">
        <v>72</v>
      </c>
      <c r="B38" t="s">
        <v>19</v>
      </c>
      <c r="C38">
        <v>1</v>
      </c>
      <c r="D38">
        <v>85</v>
      </c>
      <c r="E38">
        <v>85</v>
      </c>
      <c r="F38">
        <v>40</v>
      </c>
      <c r="G38" t="s">
        <v>23</v>
      </c>
    </row>
    <row r="39" spans="1:7" x14ac:dyDescent="0.3">
      <c r="A39" t="s">
        <v>73</v>
      </c>
      <c r="B39" t="s">
        <v>19</v>
      </c>
      <c r="C39">
        <v>1</v>
      </c>
      <c r="D39">
        <v>50</v>
      </c>
      <c r="E39">
        <v>50</v>
      </c>
      <c r="F39">
        <v>25</v>
      </c>
      <c r="G39" t="s">
        <v>18</v>
      </c>
    </row>
    <row r="40" spans="1:7" x14ac:dyDescent="0.3">
      <c r="A40" t="s">
        <v>74</v>
      </c>
      <c r="B40" t="s">
        <v>14</v>
      </c>
      <c r="C40">
        <v>1</v>
      </c>
      <c r="D40">
        <v>40</v>
      </c>
      <c r="E40">
        <v>40</v>
      </c>
      <c r="F40">
        <v>22</v>
      </c>
      <c r="G40" t="s">
        <v>23</v>
      </c>
    </row>
    <row r="41" spans="1:7" x14ac:dyDescent="0.3">
      <c r="A41" t="s">
        <v>76</v>
      </c>
      <c r="B41" t="s">
        <v>24</v>
      </c>
      <c r="C41">
        <v>1</v>
      </c>
      <c r="D41">
        <v>130</v>
      </c>
      <c r="E41">
        <v>130</v>
      </c>
      <c r="F41">
        <v>50</v>
      </c>
      <c r="G41" t="s">
        <v>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F09D-5698-4650-934D-1B4113720903}">
  <dimension ref="A1:D7"/>
  <sheetViews>
    <sheetView tabSelected="1" workbookViewId="0">
      <selection activeCell="F6" sqref="F6"/>
    </sheetView>
  </sheetViews>
  <sheetFormatPr baseColWidth="10" defaultRowHeight="14.4" x14ac:dyDescent="0.3"/>
  <cols>
    <col min="1" max="1" width="25.5546875" bestFit="1" customWidth="1"/>
    <col min="3" max="3" width="17.109375" bestFit="1" customWidth="1"/>
    <col min="4" max="4" width="16.21875" bestFit="1" customWidth="1"/>
  </cols>
  <sheetData>
    <row r="1" spans="1:4" x14ac:dyDescent="0.3">
      <c r="A1" t="s">
        <v>118</v>
      </c>
    </row>
    <row r="3" spans="1:4" x14ac:dyDescent="0.3">
      <c r="B3" t="s">
        <v>77</v>
      </c>
      <c r="C3" t="s">
        <v>119</v>
      </c>
      <c r="D3" t="s">
        <v>120</v>
      </c>
    </row>
    <row r="4" spans="1:4" x14ac:dyDescent="0.3">
      <c r="B4" t="str" cm="1">
        <f t="array" ref="B4:B6">_xlfn.UNIQUE(Tabla2[Canal])</f>
        <v>App</v>
      </c>
      <c r="C4">
        <f>SUMIF(Tabla2[Canal],B4,Tabla2[Unidades])</f>
        <v>22</v>
      </c>
      <c r="D4">
        <f>C4/$C$7</f>
        <v>0.32835820895522388</v>
      </c>
    </row>
    <row r="5" spans="1:4" x14ac:dyDescent="0.3">
      <c r="B5" t="str">
        <v>Web</v>
      </c>
      <c r="C5">
        <f>SUMIF(Tabla2[Canal],B5,Tabla2[Unidades])</f>
        <v>22</v>
      </c>
      <c r="D5">
        <f t="shared" ref="D5:D6" si="0">C5/$C$7</f>
        <v>0.32835820895522388</v>
      </c>
    </row>
    <row r="6" spans="1:4" x14ac:dyDescent="0.3">
      <c r="B6" t="str">
        <v>Tienda</v>
      </c>
      <c r="C6">
        <f>SUMIF(Tabla2[Canal],B6,Tabla2[Unidades])</f>
        <v>23</v>
      </c>
      <c r="D6">
        <f t="shared" si="0"/>
        <v>0.34328358208955223</v>
      </c>
    </row>
    <row r="7" spans="1:4" x14ac:dyDescent="0.3">
      <c r="C7">
        <f>SUM(C4:C6)</f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EC5A4-E2A2-40B1-89FE-9881694FA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Datos</vt:lpstr>
      <vt:lpstr>Venta_por_categoria</vt:lpstr>
      <vt:lpstr>venta por_categoria2</vt:lpstr>
      <vt:lpstr>beneficio_por_canal</vt:lpstr>
      <vt:lpstr>producto_estrella</vt:lpstr>
      <vt:lpstr>Hoja3</vt:lpstr>
      <vt:lpstr>Hoja4</vt:lpstr>
      <vt:lpstr>desviacion_tipica</vt:lpstr>
      <vt:lpstr>totales</vt:lpstr>
      <vt:lpstr>frecuencias</vt:lpstr>
      <vt:lpstr>producto_estrella!Área_de_extracción</vt:lpstr>
      <vt:lpstr>producto_estrella!Criterios</vt:lpstr>
      <vt:lpstr>tabla_datos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XTALENTO 101</cp:lastModifiedBy>
  <cp:revision>0</cp:revision>
  <dcterms:created xsi:type="dcterms:W3CDTF">2026-02-17T20:36:55Z</dcterms:created>
  <dcterms:modified xsi:type="dcterms:W3CDTF">2026-03-06T13:04:27Z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2026-03-05T09:42:07Z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f30134c7-1d62-4bd1-919c-16bfbaa3e975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