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3D291DCF-A114-4655-81F4-845198CD3E2E}" xr6:coauthVersionLast="47" xr6:coauthVersionMax="47" xr10:uidLastSave="{00000000-0000-0000-0000-000000000000}"/>
  <bookViews>
    <workbookView xWindow="-108" yWindow="-108" windowWidth="30936" windowHeight="16776" activeTab="1" xr2:uid="{278BF2DD-A0E6-416D-958B-C64FF29775D0}"/>
  </bookViews>
  <sheets>
    <sheet name="listado_productos" sheetId="1" r:id="rId1"/>
    <sheet name="valores_tot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H3" i="1"/>
  <c r="H4" i="1"/>
  <c r="H2" i="1"/>
  <c r="G2" i="1"/>
  <c r="E4" i="1"/>
  <c r="F4" i="1" s="1"/>
  <c r="G4" i="1" s="1"/>
  <c r="E5" i="1"/>
  <c r="F5" i="1" s="1"/>
  <c r="E3" i="1"/>
  <c r="F3" i="1" s="1"/>
  <c r="G3" i="1" s="1"/>
  <c r="E2" i="1"/>
  <c r="F2" i="1"/>
  <c r="B3" i="2" l="1"/>
</calcChain>
</file>

<file path=xl/sharedStrings.xml><?xml version="1.0" encoding="utf-8"?>
<sst xmlns="http://schemas.openxmlformats.org/spreadsheetml/2006/main" count="14" uniqueCount="14">
  <si>
    <t>producto</t>
  </si>
  <si>
    <t>precio</t>
  </si>
  <si>
    <t>unidades</t>
  </si>
  <si>
    <t>pan</t>
  </si>
  <si>
    <t>iva</t>
  </si>
  <si>
    <t>pvp</t>
  </si>
  <si>
    <t>iva del precio</t>
  </si>
  <si>
    <t>cereales</t>
  </si>
  <si>
    <t>carne</t>
  </si>
  <si>
    <t>total producto</t>
  </si>
  <si>
    <t>total v2</t>
  </si>
  <si>
    <t>unidades_totales</t>
  </si>
  <si>
    <t>precio_total_venta_publico</t>
  </si>
  <si>
    <t>precio_total_bruto(sin_iva)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</si>
</sst>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B88A-B53B-49C4-9AA5-2320CB189AD6}">
  <dimension ref="A1:K5"/>
  <sheetViews>
    <sheetView workbookViewId="0">
      <selection activeCell="C4" sqref="C4"/>
    </sheetView>
  </sheetViews>
  <sheetFormatPr baseColWidth="10" defaultRowHeight="14.4" x14ac:dyDescent="0.3"/>
  <cols>
    <col min="5" max="5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5</v>
      </c>
      <c r="G1" t="s">
        <v>9</v>
      </c>
      <c r="H1" t="s">
        <v>10</v>
      </c>
    </row>
    <row r="2" spans="1:11" x14ac:dyDescent="0.3">
      <c r="A2" t="s">
        <v>3</v>
      </c>
      <c r="B2">
        <v>0.35</v>
      </c>
      <c r="C2">
        <v>10</v>
      </c>
      <c r="D2">
        <v>0.21</v>
      </c>
      <c r="E2" s="1">
        <f>B2*D2</f>
        <v>7.3499999999999996E-2</v>
      </c>
      <c r="F2" s="1">
        <f>B2+(B2*D2)</f>
        <v>0.42349999999999999</v>
      </c>
      <c r="G2" s="1">
        <f>F2*C2</f>
        <v>4.2349999999999994</v>
      </c>
      <c r="H2" s="1">
        <f>(B2+(B2*D2))*C2</f>
        <v>4.2349999999999994</v>
      </c>
    </row>
    <row r="3" spans="1:11" x14ac:dyDescent="0.3">
      <c r="A3" t="s">
        <v>7</v>
      </c>
      <c r="B3">
        <v>4.5</v>
      </c>
      <c r="C3">
        <v>100</v>
      </c>
      <c r="D3">
        <v>0.1</v>
      </c>
      <c r="E3">
        <f>B3*D3</f>
        <v>0.45</v>
      </c>
      <c r="F3">
        <f>B3+E3</f>
        <v>4.95</v>
      </c>
      <c r="G3" s="1">
        <f t="shared" ref="G3:G4" si="0">F3*C3</f>
        <v>495</v>
      </c>
      <c r="H3" s="1">
        <f t="shared" ref="H3:H4" si="1">(B3+(B3*D3))*C3</f>
        <v>495</v>
      </c>
    </row>
    <row r="4" spans="1:11" x14ac:dyDescent="0.3">
      <c r="A4" t="s">
        <v>8</v>
      </c>
      <c r="B4">
        <v>12</v>
      </c>
      <c r="C4">
        <v>10</v>
      </c>
      <c r="D4">
        <v>0.1</v>
      </c>
      <c r="E4">
        <f t="shared" ref="E4:E5" si="2">B4*D4</f>
        <v>1.2000000000000002</v>
      </c>
      <c r="F4">
        <f t="shared" ref="F4:F5" si="3">B4+E4</f>
        <v>13.2</v>
      </c>
      <c r="G4" s="1">
        <f t="shared" si="0"/>
        <v>132</v>
      </c>
      <c r="H4" s="1">
        <f t="shared" si="1"/>
        <v>132</v>
      </c>
      <c r="K4" s="1"/>
    </row>
    <row r="5" spans="1:11" x14ac:dyDescent="0.3">
      <c r="E5">
        <f t="shared" si="2"/>
        <v>0</v>
      </c>
      <c r="F5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DCB2-ABA4-4737-9CA0-10AD5B8BD44C}">
  <dimension ref="A2:B4"/>
  <sheetViews>
    <sheetView tabSelected="1" workbookViewId="0">
      <selection activeCell="B4" sqref="B4"/>
    </sheetView>
  </sheetViews>
  <sheetFormatPr baseColWidth="10" defaultRowHeight="14.4" x14ac:dyDescent="0.3"/>
  <cols>
    <col min="1" max="1" width="22.44140625" bestFit="1" customWidth="1"/>
  </cols>
  <sheetData>
    <row r="2" spans="1:2" x14ac:dyDescent="0.3">
      <c r="A2" t="s">
        <v>11</v>
      </c>
      <c r="B2">
        <f>SUM(listado_productos!C2:C19)</f>
        <v>120</v>
      </c>
    </row>
    <row r="3" spans="1:2" x14ac:dyDescent="0.3">
      <c r="A3" t="s">
        <v>12</v>
      </c>
      <c r="B3" s="1">
        <f>SUM(listado_productos!H2:H10)</f>
        <v>631.23500000000001</v>
      </c>
    </row>
    <row r="4" spans="1:2" x14ac:dyDescent="0.3">
      <c r="A4" t="s">
        <v>13</v>
      </c>
      <c r="B4">
        <f>SUM(listado_productos!B2:B4)*SUM(listado_productos!C2:C11)</f>
        <v>2022.0000000000002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listado_productos</vt:lpstr>
      <vt:lpstr>valores_totales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2026-03-03T08:17:43Z</dcterms:created>
  <dcterms:modified xsi:type="dcterms:W3CDTF">2026-03-03T09:48:43Z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2026-03-03T08:54:57Z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3fef06d5-54a6-4e0b-bb7a-d687ed912efb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