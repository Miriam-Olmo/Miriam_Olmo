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M\Documents\big_data\excel\"/>
    </mc:Choice>
  </mc:AlternateContent>
  <xr:revisionPtr revIDLastSave="0" documentId="13_ncr:1_{32903D97-9454-4BC6-9A83-F87742BEF58D}" xr6:coauthVersionLast="47" xr6:coauthVersionMax="47" xr10:uidLastSave="{00000000-0000-0000-0000-000000000000}"/>
  <bookViews>
    <workbookView xWindow="-108" yWindow="-108" windowWidth="30936" windowHeight="16776" firstSheet="5" activeTab="12" xr2:uid="{00000000-000D-0000-FFFF-FFFF00000000}"/>
  </bookViews>
  <sheets>
    <sheet name="practicas" sheetId="1" r:id="rId1"/>
    <sheet name="media" sheetId="2" r:id="rId2"/>
    <sheet name="mediana" sheetId="3" r:id="rId3"/>
    <sheet name="ejemplo3" sheetId="4" r:id="rId4"/>
    <sheet name="ejemplo4_tabla_sueldos" sheetId="5" r:id="rId5"/>
    <sheet name="ejemplo4_tabla_totales" sheetId="9" r:id="rId6"/>
    <sheet name="ejemplo4_tabla_pagas" sheetId="10" r:id="rId7"/>
    <sheet name="moda" sheetId="6" r:id="rId8"/>
    <sheet name="ejemplo5" sheetId="7" r:id="rId9"/>
    <sheet name="percentiles" sheetId="11" r:id="rId10"/>
    <sheet name="cuartiles" sheetId="12" r:id="rId11"/>
    <sheet name="rango" sheetId="13" r:id="rId12"/>
    <sheet name="probabilidad" sheetId="14" r:id="rId13"/>
  </sheets>
  <definedNames>
    <definedName name="_xlnm._FilterDatabase" localSheetId="10" hidden="1">cuartiles!$A$1:$A$9</definedName>
    <definedName name="_xlnm._FilterDatabase" localSheetId="3" hidden="1">ejemplo3!$B$1:$B$6</definedName>
    <definedName name="_xlnm._FilterDatabase" localSheetId="4" hidden="1">ejemplo4_tabla_sueldos!$B$1:$B$8</definedName>
    <definedName name="_xlnm._FilterDatabase" localSheetId="5" hidden="1">ejemplo4_tabla_totales!#REF!</definedName>
    <definedName name="_xlnm._FilterDatabase" localSheetId="2" hidden="1">mediana!$B$1:$B$5</definedName>
    <definedName name="_xlnm._FilterDatabase" localSheetId="9" hidden="1">percentiles!$A$1:$A$9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4" l="1"/>
  <c r="C10" i="14"/>
  <c r="C8" i="14"/>
  <c r="C11" i="14" s="1"/>
  <c r="B11" i="14"/>
  <c r="B10" i="14"/>
  <c r="B9" i="14"/>
  <c r="B8" i="14"/>
  <c r="B6" i="14"/>
  <c r="F10" i="7" a="1"/>
  <c r="F10" i="7" s="1"/>
  <c r="D9" i="13" a="1"/>
  <c r="D9" i="13" s="1"/>
  <c r="D8" i="13" a="1"/>
  <c r="D8" i="13" s="1"/>
  <c r="E9" i="13"/>
  <c r="E8" i="13"/>
  <c r="H5" i="12"/>
  <c r="H4" i="12"/>
  <c r="H3" i="12"/>
  <c r="H2" i="12"/>
  <c r="H1" i="12"/>
  <c r="F5" i="12"/>
  <c r="F4" i="12"/>
  <c r="F3" i="12"/>
  <c r="F2" i="12"/>
  <c r="F1" i="12"/>
  <c r="H8" i="11"/>
  <c r="D8" i="11"/>
  <c r="B2" i="9"/>
  <c r="B3" i="10" s="1"/>
  <c r="C3" i="10" s="1"/>
  <c r="B1" i="9"/>
  <c r="E10" i="7" a="1"/>
  <c r="E10" i="7" s="1"/>
  <c r="D10" i="7"/>
  <c r="E14" i="6"/>
  <c r="E7" i="6"/>
  <c r="E8" i="6"/>
  <c r="E9" i="6"/>
  <c r="E10" i="6"/>
  <c r="E11" i="6"/>
  <c r="E12" i="6"/>
  <c r="E6" i="6"/>
  <c r="E14" i="13" l="1"/>
  <c r="B10" i="10"/>
  <c r="C10" i="10" s="1"/>
  <c r="B7" i="10"/>
  <c r="C7" i="10" s="1"/>
  <c r="B2" i="10"/>
  <c r="C2" i="10" s="1"/>
  <c r="B13" i="10"/>
  <c r="C13" i="10" s="1"/>
  <c r="B12" i="10"/>
  <c r="C12" i="10" s="1"/>
  <c r="B8" i="10"/>
  <c r="C8" i="10" s="1"/>
  <c r="B6" i="10"/>
  <c r="C6" i="10" s="1"/>
  <c r="B11" i="10"/>
  <c r="C11" i="10" s="1"/>
  <c r="B9" i="10"/>
  <c r="C9" i="10" s="1"/>
  <c r="B5" i="10"/>
  <c r="C5" i="10" s="1"/>
  <c r="B4" i="10"/>
  <c r="C4" i="10" s="1"/>
  <c r="E6" i="4"/>
  <c r="E2" i="3"/>
  <c r="G12" i="2"/>
  <c r="F11" i="2"/>
  <c r="F10" i="2"/>
  <c r="F31" i="1"/>
  <c r="B31" i="1"/>
  <c r="C30" i="1" s="1"/>
  <c r="B30" i="1"/>
  <c r="B29" i="1"/>
  <c r="B20" i="1"/>
  <c r="B18" i="1" s="1"/>
  <c r="B3" i="1"/>
  <c r="B4" i="1"/>
  <c r="B14" i="10" l="1"/>
  <c r="F12" i="2"/>
  <c r="F13" i="2" s="1"/>
  <c r="F15" i="2"/>
  <c r="C14" i="10" l="1"/>
  <c r="D14" i="10" s="1"/>
  <c r="F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<sst xmlns="http://schemas.openxmlformats.org/spreadsheetml/2006/main" count="174" uniqueCount="133">
  <si>
    <t>total_goles_historia</t>
  </si>
  <si>
    <t>total_goles_ 1970</t>
  </si>
  <si>
    <t>total_goles_2026</t>
  </si>
  <si>
    <t>total</t>
  </si>
  <si>
    <t>muestra</t>
  </si>
  <si>
    <t>x</t>
  </si>
  <si>
    <t>porcentaje de goles en 2026</t>
  </si>
  <si>
    <t>gasto_combustible_año</t>
  </si>
  <si>
    <t>enero</t>
  </si>
  <si>
    <t>junio</t>
  </si>
  <si>
    <t>porcentaje</t>
  </si>
  <si>
    <t>febrero</t>
  </si>
  <si>
    <t>marzo</t>
  </si>
  <si>
    <t>abril</t>
  </si>
  <si>
    <t>mayo</t>
  </si>
  <si>
    <t>media aritmetica</t>
  </si>
  <si>
    <t>juan</t>
  </si>
  <si>
    <t>pablo</t>
  </si>
  <si>
    <t>paula</t>
  </si>
  <si>
    <t>david</t>
  </si>
  <si>
    <t>miriam</t>
  </si>
  <si>
    <t>caramelos</t>
  </si>
  <si>
    <t>cantidad total de caramelos</t>
  </si>
  <si>
    <t>cantidad personas</t>
  </si>
  <si>
    <t>cantidad total</t>
  </si>
  <si>
    <t>media</t>
  </si>
  <si>
    <t>cantidad muestra (numero personas)</t>
  </si>
  <si>
    <t>mario</t>
  </si>
  <si>
    <t>reniel</t>
  </si>
  <si>
    <t>media(promedio)</t>
  </si>
  <si>
    <t>redondeo a la alta</t>
  </si>
  <si>
    <t>redondeo a la baja</t>
  </si>
  <si>
    <t>redondeo</t>
  </si>
  <si>
    <t>joaquin</t>
  </si>
  <si>
    <t>lara</t>
  </si>
  <si>
    <t>miguel</t>
  </si>
  <si>
    <t>luis</t>
  </si>
  <si>
    <t>mediana</t>
  </si>
  <si>
    <t>zog</t>
  </si>
  <si>
    <t>bloog</t>
  </si>
  <si>
    <t>garg</t>
  </si>
  <si>
    <t>puff</t>
  </si>
  <si>
    <t>moco</t>
  </si>
  <si>
    <t>recepcionista</t>
  </si>
  <si>
    <t>programador_junior1</t>
  </si>
  <si>
    <t>programador_junior2</t>
  </si>
  <si>
    <t>programador senior</t>
  </si>
  <si>
    <t>jefe_proyecto</t>
  </si>
  <si>
    <t>directora financiera</t>
  </si>
  <si>
    <t>directora ventas</t>
  </si>
  <si>
    <t>ceo/dueño empresa</t>
  </si>
  <si>
    <t>julio</t>
  </si>
  <si>
    <t>agosto</t>
  </si>
  <si>
    <t>septiembre</t>
  </si>
  <si>
    <t>octubre</t>
  </si>
  <si>
    <t>noviembre</t>
  </si>
  <si>
    <t>diciembre</t>
  </si>
  <si>
    <t xml:space="preserve">retencion </t>
  </si>
  <si>
    <t>diferencia despues de impuestos</t>
  </si>
  <si>
    <t>negro</t>
  </si>
  <si>
    <t>azul</t>
  </si>
  <si>
    <t>rosa</t>
  </si>
  <si>
    <t>rojo</t>
  </si>
  <si>
    <t>verde</t>
  </si>
  <si>
    <t>blanco</t>
  </si>
  <si>
    <t>gris</t>
  </si>
  <si>
    <t>moda</t>
  </si>
  <si>
    <t>moda.uno</t>
  </si>
  <si>
    <t>formula excel moderna pero solo vale para numeros</t>
  </si>
  <si>
    <t>moda.varios</t>
  </si>
  <si>
    <t>formula excel moderna , solo vale para numeros</t>
  </si>
  <si>
    <t>formula de excel antigüa, solo vale para numeros</t>
  </si>
  <si>
    <t>devuelve el primer valor que lo cumpla</t>
  </si>
  <si>
    <t>devuelve todas las posibilidades</t>
  </si>
  <si>
    <t>contar.si(muestra;valor)</t>
  </si>
  <si>
    <t>vale para caracteres</t>
  </si>
  <si>
    <t>max</t>
  </si>
  <si>
    <t>maximo</t>
  </si>
  <si>
    <t>minimo</t>
  </si>
  <si>
    <t>max: calcula el valor maximo de un conjunto</t>
  </si>
  <si>
    <t>min: calcula el valor minimo de un conjunto</t>
  </si>
  <si>
    <t>talla_zapatillas</t>
  </si>
  <si>
    <t>pares_vendidos_semana</t>
  </si>
  <si>
    <t>talla 37</t>
  </si>
  <si>
    <t>talla 38</t>
  </si>
  <si>
    <t>talla 39</t>
  </si>
  <si>
    <t>talla 40</t>
  </si>
  <si>
    <t>talla 41</t>
  </si>
  <si>
    <t>talla 36</t>
  </si>
  <si>
    <t>¿Cuál es la moda o modas de la talla de zapatillas vendidas?</t>
  </si>
  <si>
    <t>la moda es 15¿ por que se equivoca el empleado nuevo?</t>
  </si>
  <si>
    <t>como encargado de la tienda ¿Qué decision tomarias basandote en el resultado de la moda?</t>
  </si>
  <si>
    <t xml:space="preserve">comprar más pares de esas tallas </t>
  </si>
  <si>
    <t>si se equivoca el empleado, porque la moda no es 15 es la talla correspondiente</t>
  </si>
  <si>
    <t>no</t>
  </si>
  <si>
    <t>pagas</t>
  </si>
  <si>
    <t>antes retencion(bruto)</t>
  </si>
  <si>
    <t>despues retencion(neto)</t>
  </si>
  <si>
    <t>percentil_5</t>
  </si>
  <si>
    <t>percentil_3</t>
  </si>
  <si>
    <t>percentil_7</t>
  </si>
  <si>
    <t>percentil excel</t>
  </si>
  <si>
    <t>primer cuartil</t>
  </si>
  <si>
    <t>q1</t>
  </si>
  <si>
    <t>segundo cuartil</t>
  </si>
  <si>
    <t>q2</t>
  </si>
  <si>
    <t>tercer cuartil</t>
  </si>
  <si>
    <t>q3</t>
  </si>
  <si>
    <t>cuarto cuartil</t>
  </si>
  <si>
    <t>q4</t>
  </si>
  <si>
    <t>cuartil 0</t>
  </si>
  <si>
    <t>q0</t>
  </si>
  <si>
    <t>pan</t>
  </si>
  <si>
    <t>leche</t>
  </si>
  <si>
    <t>huevos</t>
  </si>
  <si>
    <t>carne</t>
  </si>
  <si>
    <t>coliflor</t>
  </si>
  <si>
    <t>apio</t>
  </si>
  <si>
    <t>tomate</t>
  </si>
  <si>
    <t>cebolla</t>
  </si>
  <si>
    <t>pescado</t>
  </si>
  <si>
    <t>min</t>
  </si>
  <si>
    <t>rango</t>
  </si>
  <si>
    <t>maximo - minimo</t>
  </si>
  <si>
    <t>calzado</t>
  </si>
  <si>
    <t>ropa</t>
  </si>
  <si>
    <t>accesorios</t>
  </si>
  <si>
    <t>tipo</t>
  </si>
  <si>
    <t>ventas</t>
  </si>
  <si>
    <t>totales</t>
  </si>
  <si>
    <t>probabilidad venta calzado</t>
  </si>
  <si>
    <t>probabilidad venta ropa</t>
  </si>
  <si>
    <t>probabilidad venta 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</si>
</sst>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2" fontId="0" fillId="2" borderId="0" xfId="0" applyNumberFormat="1" applyFill="1"/>
    <xf numFmtId="0" fontId="0" fillId="2" borderId="0" xfId="0" applyFill="1"/>
    <xf numFmtId="0" fontId="0" fillId="0" borderId="1" xfId="0" applyBorder="1"/>
    <xf numFmtId="1" fontId="0" fillId="2" borderId="1" xfId="0" applyNumberFormat="1" applyFill="1" applyBorder="1"/>
    <xf numFmtId="2" fontId="0" fillId="2" borderId="1" xfId="0" applyNumberFormat="1" applyFill="1" applyBorder="1"/>
    <xf numFmtId="0" fontId="0" fillId="2" borderId="1" xfId="0" applyFill="1" applyBorder="1"/>
    <xf numFmtId="9" fontId="0" fillId="2" borderId="1" xfId="1" applyFont="1" applyFill="1" applyBorder="1"/>
    <xf numFmtId="3" fontId="0" fillId="2" borderId="1" xfId="0" applyNumberFormat="1" applyFill="1" applyBorder="1"/>
    <xf numFmtId="3" fontId="0" fillId="3" borderId="1" xfId="0" applyNumberFormat="1" applyFill="1" applyBorder="1"/>
    <xf numFmtId="4" fontId="0" fillId="0" borderId="0" xfId="0" applyNumberFormat="1"/>
    <xf numFmtId="4" fontId="0" fillId="4" borderId="1" xfId="0" applyNumberFormat="1" applyFill="1" applyBorder="1"/>
    <xf numFmtId="0" fontId="0" fillId="4" borderId="1" xfId="0" applyFill="1" applyBorder="1"/>
    <xf numFmtId="9" fontId="0" fillId="0" borderId="1" xfId="0" applyNumberFormat="1" applyBorder="1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2" fontId="0" fillId="0" borderId="0" xfId="0" applyNumberFormat="1"/>
    <xf numFmtId="0" fontId="0" fillId="3" borderId="0" xfId="0" applyFill="1"/>
    <xf numFmtId="0" fontId="0" fillId="0" borderId="1" xfId="0" applyFill="1" applyBorder="1"/>
    <xf numFmtId="9" fontId="0" fillId="2" borderId="1" xfId="0" applyNumberForma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opLeftCell="A19" workbookViewId="0">
      <selection activeCell="A21" sqref="A21:F33"/>
    </sheetView>
  </sheetViews>
  <sheetFormatPr baseColWidth="10" defaultRowHeight="14.4" x14ac:dyDescent="0.3"/>
  <cols>
    <col min="1" max="1" width="23.44140625" bestFit="1" customWidth="1"/>
    <col min="5" max="5" width="30.77734375" bestFit="1" customWidth="1"/>
  </cols>
  <sheetData>
    <row r="1" spans="1:3" x14ac:dyDescent="0.3">
      <c r="A1" s="3" t="s">
        <v>0</v>
      </c>
      <c r="B1" s="3">
        <v>5500</v>
      </c>
    </row>
    <row r="2" spans="1:3" x14ac:dyDescent="0.3">
      <c r="A2" s="3" t="s">
        <v>1</v>
      </c>
      <c r="B2" s="3">
        <v>120</v>
      </c>
    </row>
    <row r="3" spans="1:3" x14ac:dyDescent="0.3">
      <c r="A3" s="3" t="s">
        <v>2</v>
      </c>
      <c r="B3" s="4">
        <f>B2*1</f>
        <v>120</v>
      </c>
    </row>
    <row r="4" spans="1:3" x14ac:dyDescent="0.3">
      <c r="A4" s="3" t="s">
        <v>6</v>
      </c>
      <c r="B4" s="5">
        <f>(B2*C6)/B1</f>
        <v>2.1818181818181817</v>
      </c>
    </row>
    <row r="6" spans="1:3" x14ac:dyDescent="0.3">
      <c r="A6" s="3" t="s">
        <v>3</v>
      </c>
      <c r="B6" s="3">
        <v>5500</v>
      </c>
      <c r="C6" s="3">
        <v>100</v>
      </c>
    </row>
    <row r="7" spans="1:3" x14ac:dyDescent="0.3">
      <c r="A7" s="3" t="s">
        <v>4</v>
      </c>
      <c r="B7" s="3">
        <v>120</v>
      </c>
      <c r="C7" s="3" t="s">
        <v>5</v>
      </c>
    </row>
    <row r="12" spans="1:3" x14ac:dyDescent="0.3">
      <c r="A12" s="3" t="s">
        <v>7</v>
      </c>
      <c r="B12" s="3">
        <v>2300</v>
      </c>
    </row>
    <row r="13" spans="1:3" x14ac:dyDescent="0.3">
      <c r="A13" s="3" t="s">
        <v>8</v>
      </c>
      <c r="B13" s="3">
        <v>300</v>
      </c>
    </row>
    <row r="14" spans="1:3" x14ac:dyDescent="0.3">
      <c r="A14" s="3" t="s">
        <v>11</v>
      </c>
      <c r="B14" s="3"/>
    </row>
    <row r="15" spans="1:3" x14ac:dyDescent="0.3">
      <c r="A15" s="3" t="s">
        <v>12</v>
      </c>
      <c r="B15" s="3"/>
    </row>
    <row r="16" spans="1:3" x14ac:dyDescent="0.3">
      <c r="A16" s="3" t="s">
        <v>13</v>
      </c>
      <c r="B16" s="3"/>
    </row>
    <row r="17" spans="1:6" x14ac:dyDescent="0.3">
      <c r="A17" s="3" t="s">
        <v>14</v>
      </c>
      <c r="B17" s="3"/>
    </row>
    <row r="18" spans="1:6" x14ac:dyDescent="0.3">
      <c r="A18" s="3" t="s">
        <v>9</v>
      </c>
      <c r="B18" s="6">
        <f>B12*B20</f>
        <v>300</v>
      </c>
    </row>
    <row r="20" spans="1:6" x14ac:dyDescent="0.3">
      <c r="A20" s="3" t="s">
        <v>10</v>
      </c>
      <c r="B20" s="7">
        <f>B13/B12</f>
        <v>0.13043478260869565</v>
      </c>
    </row>
    <row r="21" spans="1:6" x14ac:dyDescent="0.3">
      <c r="B21" t="s">
        <v>21</v>
      </c>
    </row>
    <row r="22" spans="1:6" x14ac:dyDescent="0.3">
      <c r="A22" t="s">
        <v>15</v>
      </c>
    </row>
    <row r="23" spans="1:6" x14ac:dyDescent="0.3">
      <c r="A23" t="s">
        <v>16</v>
      </c>
      <c r="B23">
        <v>12</v>
      </c>
    </row>
    <row r="24" spans="1:6" x14ac:dyDescent="0.3">
      <c r="A24" t="s">
        <v>17</v>
      </c>
      <c r="B24">
        <v>3</v>
      </c>
    </row>
    <row r="25" spans="1:6" x14ac:dyDescent="0.3">
      <c r="A25" t="s">
        <v>18</v>
      </c>
      <c r="B25">
        <v>34</v>
      </c>
    </row>
    <row r="26" spans="1:6" x14ac:dyDescent="0.3">
      <c r="A26" t="s">
        <v>19</v>
      </c>
      <c r="B26">
        <v>2</v>
      </c>
    </row>
    <row r="27" spans="1:6" x14ac:dyDescent="0.3">
      <c r="A27" t="s">
        <v>20</v>
      </c>
      <c r="B27">
        <v>100</v>
      </c>
    </row>
    <row r="29" spans="1:6" x14ac:dyDescent="0.3">
      <c r="A29" t="s">
        <v>22</v>
      </c>
      <c r="B29">
        <f>SUM(B23:B27)</f>
        <v>151</v>
      </c>
    </row>
    <row r="30" spans="1:6" x14ac:dyDescent="0.3">
      <c r="A30" t="s">
        <v>15</v>
      </c>
      <c r="B30">
        <f>AVERAGE(B23,B24,B25,B26,B27)</f>
        <v>30.2</v>
      </c>
      <c r="C30">
        <f>B29/B31</f>
        <v>30.2</v>
      </c>
    </row>
    <row r="31" spans="1:6" x14ac:dyDescent="0.3">
      <c r="A31" t="s">
        <v>23</v>
      </c>
      <c r="B31">
        <f>COUNTA(A23:A27)</f>
        <v>5</v>
      </c>
      <c r="E31" t="s">
        <v>24</v>
      </c>
      <c r="F31">
        <f>SUM(B23:B27)</f>
        <v>151</v>
      </c>
    </row>
    <row r="32" spans="1:6" x14ac:dyDescent="0.3">
      <c r="E32" t="s">
        <v>26</v>
      </c>
    </row>
    <row r="33" spans="5:5" x14ac:dyDescent="0.3">
      <c r="E3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A9" sqref="A9"/>
    </sheetView>
  </sheetViews>
  <sheetFormatPr baseColWidth="10" defaultRowHeight="14.4" x14ac:dyDescent="0.3"/>
  <cols>
    <col min="1" max="1" width="23.33203125" bestFit="1" customWidth="1"/>
    <col min="5" max="5" width="30.77734375" bestFit="1" customWidth="1"/>
  </cols>
  <sheetData>
    <row r="1" spans="1:7" x14ac:dyDescent="0.3">
      <c r="A1" s="3" t="s">
        <v>16</v>
      </c>
      <c r="B1" s="3">
        <v>12</v>
      </c>
    </row>
    <row r="2" spans="1:7" x14ac:dyDescent="0.3">
      <c r="A2" s="3" t="s">
        <v>17</v>
      </c>
      <c r="B2" s="3">
        <v>3</v>
      </c>
    </row>
    <row r="3" spans="1:7" x14ac:dyDescent="0.3">
      <c r="A3" s="3" t="s">
        <v>18</v>
      </c>
      <c r="B3" s="3">
        <v>34</v>
      </c>
    </row>
    <row r="4" spans="1:7" x14ac:dyDescent="0.3">
      <c r="A4" s="3" t="s">
        <v>19</v>
      </c>
      <c r="B4" s="3">
        <v>2</v>
      </c>
    </row>
    <row r="5" spans="1:7" x14ac:dyDescent="0.3">
      <c r="A5" s="3" t="s">
        <v>20</v>
      </c>
      <c r="B5" s="3">
        <v>100</v>
      </c>
    </row>
    <row r="6" spans="1:7" x14ac:dyDescent="0.3">
      <c r="A6" s="3" t="s">
        <v>27</v>
      </c>
      <c r="B6" s="3">
        <v>12</v>
      </c>
    </row>
    <row r="7" spans="1:7" x14ac:dyDescent="0.3">
      <c r="A7" s="3" t="s">
        <v>28</v>
      </c>
      <c r="B7" s="3">
        <v>35</v>
      </c>
    </row>
    <row r="8" spans="1:7" x14ac:dyDescent="0.3">
      <c r="A8" s="3" t="s">
        <v>33</v>
      </c>
      <c r="B8" s="3">
        <v>13</v>
      </c>
    </row>
    <row r="10" spans="1:7" x14ac:dyDescent="0.3">
      <c r="E10" s="3" t="s">
        <v>24</v>
      </c>
      <c r="F10" s="6">
        <f>SUM(B:B)</f>
        <v>211</v>
      </c>
    </row>
    <row r="11" spans="1:7" x14ac:dyDescent="0.3">
      <c r="E11" s="3" t="s">
        <v>26</v>
      </c>
      <c r="F11" s="6">
        <f>COUNTA(A:A)</f>
        <v>8</v>
      </c>
    </row>
    <row r="12" spans="1:7" x14ac:dyDescent="0.3">
      <c r="E12" s="3" t="s">
        <v>29</v>
      </c>
      <c r="F12" s="5">
        <f>F10/F11</f>
        <v>26.375</v>
      </c>
      <c r="G12" s="5">
        <f>AVERAGE(B:B,B2,B3,B4,B5,B6,B7)</f>
        <v>28.357142857142858</v>
      </c>
    </row>
    <row r="13" spans="1:7" x14ac:dyDescent="0.3">
      <c r="E13" s="3" t="s">
        <v>30</v>
      </c>
      <c r="F13" s="1">
        <f>ROUNDUP(F12,0)</f>
        <v>27</v>
      </c>
    </row>
    <row r="14" spans="1:7" x14ac:dyDescent="0.3">
      <c r="E14" s="3" t="s">
        <v>31</v>
      </c>
      <c r="F14" s="1">
        <f>ROUNDDOWN(F12,0)</f>
        <v>26</v>
      </c>
    </row>
    <row r="15" spans="1:7" x14ac:dyDescent="0.3">
      <c r="E15" s="3" t="s">
        <v>32</v>
      </c>
      <c r="F15" s="1">
        <f>ROUND(F12,0)</f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A10" sqref="A10"/>
    </sheetView>
  </sheetViews>
  <sheetFormatPr baseColWidth="10" defaultRowHeight="14.4" x14ac:dyDescent="0.3"/>
  <sheetData>
    <row r="1" spans="1:5" x14ac:dyDescent="0.3">
      <c r="A1" s="3" t="s">
        <v>28</v>
      </c>
      <c r="B1" s="3">
        <v>4</v>
      </c>
    </row>
    <row r="2" spans="1:5" x14ac:dyDescent="0.3">
      <c r="A2" s="3" t="s">
        <v>19</v>
      </c>
      <c r="B2" s="3">
        <v>5</v>
      </c>
      <c r="D2" s="3" t="s">
        <v>37</v>
      </c>
      <c r="E2" s="6">
        <f>MEDIAN(B:B)</f>
        <v>13</v>
      </c>
    </row>
    <row r="3" spans="1:5" x14ac:dyDescent="0.3">
      <c r="A3" s="3" t="s">
        <v>35</v>
      </c>
      <c r="B3" s="3">
        <v>10</v>
      </c>
    </row>
    <row r="4" spans="1:5" x14ac:dyDescent="0.3">
      <c r="A4" s="3" t="s">
        <v>34</v>
      </c>
      <c r="B4" s="3">
        <v>12</v>
      </c>
    </row>
    <row r="5" spans="1:5" x14ac:dyDescent="0.3">
      <c r="A5" s="3" t="s">
        <v>27</v>
      </c>
      <c r="B5" s="3">
        <v>13</v>
      </c>
    </row>
    <row r="6" spans="1:5" x14ac:dyDescent="0.3">
      <c r="A6" s="3" t="s">
        <v>36</v>
      </c>
      <c r="B6" s="3">
        <v>15</v>
      </c>
    </row>
    <row r="7" spans="1:5" x14ac:dyDescent="0.3">
      <c r="A7" s="3" t="s">
        <v>18</v>
      </c>
      <c r="B7" s="3">
        <v>20</v>
      </c>
    </row>
    <row r="8" spans="1:5" x14ac:dyDescent="0.3">
      <c r="A8" s="3" t="s">
        <v>17</v>
      </c>
      <c r="B8" s="3">
        <v>80</v>
      </c>
    </row>
    <row r="9" spans="1:5" x14ac:dyDescent="0.3">
      <c r="A9" s="3" t="s">
        <v>20</v>
      </c>
      <c r="B9" s="3">
        <v>120</v>
      </c>
    </row>
  </sheetData>
  <autoFilter ref="B1:B5" xr:uid="{00000000-0009-0000-0000-000002000000}">
    <sortState xmlns:xlrd2="http://schemas.microsoft.com/office/spreadsheetml/2017/richdata2" ref="A2:B9">
      <sortCondition ref="B1:B5"/>
    </sortState>
  </autoFilter>
  <sortState xmlns:xlrd2="http://schemas.microsoft.com/office/spreadsheetml/2017/richdata2" ref="A1:B9">
    <sortCondition ref="B1:B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B9" sqref="B9"/>
    </sheetView>
  </sheetViews>
  <sheetFormatPr baseColWidth="10" defaultRowHeight="14.4" x14ac:dyDescent="0.3"/>
  <sheetData>
    <row r="1" spans="1:5" x14ac:dyDescent="0.3">
      <c r="A1" t="s">
        <v>40</v>
      </c>
      <c r="B1">
        <v>100</v>
      </c>
    </row>
    <row r="2" spans="1:5" x14ac:dyDescent="0.3">
      <c r="A2" t="s">
        <v>38</v>
      </c>
      <c r="B2">
        <v>12</v>
      </c>
    </row>
    <row r="3" spans="1:5" x14ac:dyDescent="0.3">
      <c r="A3" t="s">
        <v>41</v>
      </c>
      <c r="B3">
        <v>8</v>
      </c>
    </row>
    <row r="4" spans="1:5" x14ac:dyDescent="0.3">
      <c r="A4" t="s">
        <v>42</v>
      </c>
      <c r="B4">
        <v>5</v>
      </c>
    </row>
    <row r="5" spans="1:5" x14ac:dyDescent="0.3">
      <c r="A5" t="s">
        <v>39</v>
      </c>
      <c r="B5">
        <v>3</v>
      </c>
    </row>
    <row r="6" spans="1:5" x14ac:dyDescent="0.3">
      <c r="D6" t="s">
        <v>37</v>
      </c>
      <c r="E6" s="2">
        <f>MEDIAN(B:B)</f>
        <v>8</v>
      </c>
    </row>
  </sheetData>
  <autoFilter ref="B1:B6" xr:uid="{00000000-0009-0000-0000-000003000000}"/>
  <sortState xmlns:xlrd2="http://schemas.microsoft.com/office/spreadsheetml/2017/richdata2" ref="A1:B7">
    <sortCondition descending="1" ref="B1:B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B5" sqref="B5"/>
    </sheetView>
  </sheetViews>
  <sheetFormatPr baseColWidth="10" defaultRowHeight="14.4" x14ac:dyDescent="0.3"/>
  <cols>
    <col min="1" max="1" width="17.88671875" bestFit="1" customWidth="1"/>
    <col min="4" max="4" width="19.6640625" bestFit="1" customWidth="1"/>
    <col min="5" max="5" width="21.44140625" bestFit="1" customWidth="1"/>
    <col min="6" max="6" width="9.109375" bestFit="1" customWidth="1"/>
    <col min="7" max="7" width="35.21875" bestFit="1" customWidth="1"/>
  </cols>
  <sheetData>
    <row r="1" spans="1:2" x14ac:dyDescent="0.3">
      <c r="A1" s="15" t="s">
        <v>43</v>
      </c>
      <c r="B1" s="9">
        <v>18000</v>
      </c>
    </row>
    <row r="2" spans="1:2" x14ac:dyDescent="0.3">
      <c r="A2" s="15" t="s">
        <v>44</v>
      </c>
      <c r="B2" s="9">
        <v>20000</v>
      </c>
    </row>
    <row r="3" spans="1:2" x14ac:dyDescent="0.3">
      <c r="A3" s="15" t="s">
        <v>45</v>
      </c>
      <c r="B3" s="9">
        <v>30000</v>
      </c>
    </row>
    <row r="4" spans="1:2" x14ac:dyDescent="0.3">
      <c r="A4" s="15" t="s">
        <v>46</v>
      </c>
      <c r="B4" s="9">
        <v>40000</v>
      </c>
    </row>
    <row r="5" spans="1:2" x14ac:dyDescent="0.3">
      <c r="A5" s="15" t="s">
        <v>47</v>
      </c>
      <c r="B5" s="9">
        <v>35000</v>
      </c>
    </row>
    <row r="6" spans="1:2" x14ac:dyDescent="0.3">
      <c r="A6" s="15" t="s">
        <v>48</v>
      </c>
      <c r="B6" s="9">
        <v>60000</v>
      </c>
    </row>
    <row r="7" spans="1:2" x14ac:dyDescent="0.3">
      <c r="A7" s="15" t="s">
        <v>49</v>
      </c>
      <c r="B7" s="9">
        <v>89000</v>
      </c>
    </row>
    <row r="8" spans="1:2" x14ac:dyDescent="0.3">
      <c r="A8" s="15" t="s">
        <v>50</v>
      </c>
      <c r="B8" s="9">
        <v>300000</v>
      </c>
    </row>
  </sheetData>
  <autoFilter ref="B1:B8" xr:uid="{00000000-0009-0000-0000-000004000000}"/>
  <sortState xmlns:xlrd2="http://schemas.microsoft.com/office/spreadsheetml/2017/richdata2" ref="A1:B8">
    <sortCondition ref="B1:B8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6AD7-FB59-4BF0-B826-145122F09BD5}">
  <dimension ref="A1:D3"/>
  <sheetViews>
    <sheetView workbookViewId="0">
      <selection activeCell="B2" sqref="B2"/>
    </sheetView>
  </sheetViews>
  <sheetFormatPr baseColWidth="10" defaultRowHeight="14.4" x14ac:dyDescent="0.3"/>
  <cols>
    <col min="2" max="2" width="19.6640625" bestFit="1" customWidth="1"/>
    <col min="3" max="3" width="21.44140625" bestFit="1" customWidth="1"/>
    <col min="4" max="4" width="9.109375" bestFit="1" customWidth="1"/>
    <col min="5" max="5" width="35.21875" bestFit="1" customWidth="1"/>
  </cols>
  <sheetData>
    <row r="1" spans="1:4" x14ac:dyDescent="0.3">
      <c r="A1" s="15" t="s">
        <v>25</v>
      </c>
      <c r="B1" s="8">
        <f>AVERAGE(ejemplo4_tabla_sueldos!B:B)</f>
        <v>74000</v>
      </c>
      <c r="C1" s="15" t="s">
        <v>57</v>
      </c>
      <c r="D1" s="13">
        <v>0.18</v>
      </c>
    </row>
    <row r="2" spans="1:4" x14ac:dyDescent="0.3">
      <c r="A2" s="15" t="s">
        <v>37</v>
      </c>
      <c r="B2" s="8">
        <f>MEDIAN(ejemplo4_tabla_sueldos!B:B)</f>
        <v>37500</v>
      </c>
    </row>
    <row r="3" spans="1:4" x14ac:dyDescent="0.3">
      <c r="A3" s="15" t="s">
        <v>95</v>
      </c>
      <c r="B3" s="12">
        <v>12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D7A0C-DF47-40D7-AE3F-073C021C5750}">
  <dimension ref="A1:E14"/>
  <sheetViews>
    <sheetView workbookViewId="0">
      <selection activeCell="A8" sqref="A8"/>
    </sheetView>
  </sheetViews>
  <sheetFormatPr baseColWidth="10" defaultRowHeight="14.4" x14ac:dyDescent="0.3"/>
  <cols>
    <col min="2" max="2" width="19.6640625" bestFit="1" customWidth="1"/>
    <col min="3" max="3" width="21.44140625" bestFit="1" customWidth="1"/>
    <col min="4" max="4" width="9.109375" bestFit="1" customWidth="1"/>
    <col min="5" max="5" width="35.21875" bestFit="1" customWidth="1"/>
  </cols>
  <sheetData>
    <row r="1" spans="1:5" x14ac:dyDescent="0.3">
      <c r="A1" s="3"/>
      <c r="B1" s="15" t="s">
        <v>96</v>
      </c>
      <c r="C1" s="15" t="s">
        <v>97</v>
      </c>
    </row>
    <row r="2" spans="1:5" x14ac:dyDescent="0.3">
      <c r="A2" s="15" t="s">
        <v>8</v>
      </c>
      <c r="B2" s="11">
        <f>AVERAGE(ejemplo4_tabla_totales!$B$2/ejemplo4_tabla_totales!$B$3)</f>
        <v>3125</v>
      </c>
      <c r="C2" s="11">
        <f>B2-(B2*ejemplo4_tabla_totales!$D$1)</f>
        <v>2562.5</v>
      </c>
    </row>
    <row r="3" spans="1:5" x14ac:dyDescent="0.3">
      <c r="A3" s="15" t="s">
        <v>11</v>
      </c>
      <c r="B3" s="11">
        <f>AVERAGE(ejemplo4_tabla_totales!$B$2/ejemplo4_tabla_totales!$B$3)</f>
        <v>3125</v>
      </c>
      <c r="C3" s="11">
        <f>B3-(B3*ejemplo4_tabla_totales!$D$1)</f>
        <v>2562.5</v>
      </c>
    </row>
    <row r="4" spans="1:5" x14ac:dyDescent="0.3">
      <c r="A4" s="15" t="s">
        <v>12</v>
      </c>
      <c r="B4" s="11">
        <f>AVERAGE(ejemplo4_tabla_totales!$B$2/ejemplo4_tabla_totales!$B$3)</f>
        <v>3125</v>
      </c>
      <c r="C4" s="11">
        <f>B4-(B4*ejemplo4_tabla_totales!$D$1)</f>
        <v>2562.5</v>
      </c>
      <c r="E4" s="10"/>
    </row>
    <row r="5" spans="1:5" x14ac:dyDescent="0.3">
      <c r="A5" s="15" t="s">
        <v>13</v>
      </c>
      <c r="B5" s="11">
        <f>AVERAGE(ejemplo4_tabla_totales!$B$2/ejemplo4_tabla_totales!$B$3)</f>
        <v>3125</v>
      </c>
      <c r="C5" s="11">
        <f>B5-(B5*ejemplo4_tabla_totales!$D$1)</f>
        <v>2562.5</v>
      </c>
    </row>
    <row r="6" spans="1:5" x14ac:dyDescent="0.3">
      <c r="A6" s="15" t="s">
        <v>14</v>
      </c>
      <c r="B6" s="11">
        <f>AVERAGE(ejemplo4_tabla_totales!$B$2/ejemplo4_tabla_totales!$B$3)</f>
        <v>3125</v>
      </c>
      <c r="C6" s="11">
        <f>B6-(B6*ejemplo4_tabla_totales!$D$1)</f>
        <v>2562.5</v>
      </c>
      <c r="E6" s="19"/>
    </row>
    <row r="7" spans="1:5" x14ac:dyDescent="0.3">
      <c r="A7" s="15" t="s">
        <v>9</v>
      </c>
      <c r="B7" s="11">
        <f>AVERAGE(ejemplo4_tabla_totales!$B$2/ejemplo4_tabla_totales!$B$3)</f>
        <v>3125</v>
      </c>
      <c r="C7" s="11">
        <f>B7-(B7*ejemplo4_tabla_totales!$D$1)</f>
        <v>2562.5</v>
      </c>
      <c r="E7" s="19"/>
    </row>
    <row r="8" spans="1:5" x14ac:dyDescent="0.3">
      <c r="A8" s="15" t="s">
        <v>51</v>
      </c>
      <c r="B8" s="11">
        <f>AVERAGE(ejemplo4_tabla_totales!$B$2/ejemplo4_tabla_totales!$B$3)</f>
        <v>3125</v>
      </c>
      <c r="C8" s="11">
        <f>B8-(B8*ejemplo4_tabla_totales!$D$1)</f>
        <v>2562.5</v>
      </c>
    </row>
    <row r="9" spans="1:5" x14ac:dyDescent="0.3">
      <c r="A9" s="15" t="s">
        <v>52</v>
      </c>
      <c r="B9" s="11">
        <f>AVERAGE(ejemplo4_tabla_totales!$B$2/ejemplo4_tabla_totales!$B$3)</f>
        <v>3125</v>
      </c>
      <c r="C9" s="11">
        <f>B9-(B9*ejemplo4_tabla_totales!$D$1)</f>
        <v>2562.5</v>
      </c>
    </row>
    <row r="10" spans="1:5" x14ac:dyDescent="0.3">
      <c r="A10" s="15" t="s">
        <v>53</v>
      </c>
      <c r="B10" s="11">
        <f>AVERAGE(ejemplo4_tabla_totales!$B$2/ejemplo4_tabla_totales!$B$3)</f>
        <v>3125</v>
      </c>
      <c r="C10" s="11">
        <f>B10-(B10*ejemplo4_tabla_totales!$D$1)</f>
        <v>2562.5</v>
      </c>
    </row>
    <row r="11" spans="1:5" x14ac:dyDescent="0.3">
      <c r="A11" s="15" t="s">
        <v>54</v>
      </c>
      <c r="B11" s="11">
        <f>AVERAGE(ejemplo4_tabla_totales!$B$2/ejemplo4_tabla_totales!$B$3)</f>
        <v>3125</v>
      </c>
      <c r="C11" s="11">
        <f>B11-(B11*ejemplo4_tabla_totales!$D$1)</f>
        <v>2562.5</v>
      </c>
    </row>
    <row r="12" spans="1:5" x14ac:dyDescent="0.3">
      <c r="A12" s="15" t="s">
        <v>55</v>
      </c>
      <c r="B12" s="11">
        <f>AVERAGE(ejemplo4_tabla_totales!$B$2/ejemplo4_tabla_totales!$B$3)</f>
        <v>3125</v>
      </c>
      <c r="C12" s="11">
        <f>B12-(B12*ejemplo4_tabla_totales!$D$1)</f>
        <v>2562.5</v>
      </c>
    </row>
    <row r="13" spans="1:5" x14ac:dyDescent="0.3">
      <c r="A13" s="15" t="s">
        <v>56</v>
      </c>
      <c r="B13" s="11">
        <f>AVERAGE(ejemplo4_tabla_totales!$B$2/ejemplo4_tabla_totales!$B$3)</f>
        <v>3125</v>
      </c>
      <c r="C13" s="11">
        <f>B13-(B13*ejemplo4_tabla_totales!$D$1)</f>
        <v>2562.5</v>
      </c>
    </row>
    <row r="14" spans="1:5" ht="18" x14ac:dyDescent="0.35">
      <c r="A14" s="14" t="s">
        <v>3</v>
      </c>
      <c r="B14" s="11">
        <f>SUM(B2:B13)</f>
        <v>37500</v>
      </c>
      <c r="C14" s="11">
        <f>SUM(C2:C13)</f>
        <v>30750</v>
      </c>
      <c r="D14" s="11">
        <f>B14-C14</f>
        <v>6750</v>
      </c>
      <c r="E14" s="14" t="s">
        <v>58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4775-EE08-4786-A2C5-9A8B008DE6B5}">
  <dimension ref="A1:I15"/>
  <sheetViews>
    <sheetView workbookViewId="0">
      <selection activeCell="E14" sqref="E14"/>
    </sheetView>
  </sheetViews>
  <sheetFormatPr baseColWidth="10" defaultRowHeight="14.4" x14ac:dyDescent="0.3"/>
  <cols>
    <col min="7" max="7" width="20.44140625" bestFit="1" customWidth="1"/>
    <col min="8" max="8" width="42.6640625" bestFit="1" customWidth="1"/>
    <col min="9" max="9" width="31.5546875" bestFit="1" customWidth="1"/>
  </cols>
  <sheetData>
    <row r="1" spans="1:9" x14ac:dyDescent="0.3">
      <c r="A1" s="3" t="s">
        <v>59</v>
      </c>
    </row>
    <row r="2" spans="1:9" x14ac:dyDescent="0.3">
      <c r="A2" s="3" t="s">
        <v>60</v>
      </c>
    </row>
    <row r="3" spans="1:9" x14ac:dyDescent="0.3">
      <c r="A3" s="3" t="s">
        <v>61</v>
      </c>
    </row>
    <row r="4" spans="1:9" x14ac:dyDescent="0.3">
      <c r="A4" s="3" t="s">
        <v>62</v>
      </c>
    </row>
    <row r="5" spans="1:9" x14ac:dyDescent="0.3">
      <c r="A5" s="3" t="s">
        <v>63</v>
      </c>
    </row>
    <row r="6" spans="1:9" x14ac:dyDescent="0.3">
      <c r="A6" s="3" t="s">
        <v>63</v>
      </c>
      <c r="C6" s="3" t="s">
        <v>60</v>
      </c>
      <c r="D6" s="6">
        <v>2</v>
      </c>
      <c r="E6" s="6">
        <f>COUNTIF(A:A,C6)</f>
        <v>2</v>
      </c>
    </row>
    <row r="7" spans="1:9" x14ac:dyDescent="0.3">
      <c r="A7" s="3" t="s">
        <v>61</v>
      </c>
      <c r="C7" s="3" t="s">
        <v>59</v>
      </c>
      <c r="D7" s="6">
        <v>3</v>
      </c>
      <c r="E7" s="6">
        <f t="shared" ref="E7:E11" si="0">COUNTIF(A:A,C7)</f>
        <v>3</v>
      </c>
    </row>
    <row r="8" spans="1:9" x14ac:dyDescent="0.3">
      <c r="A8" s="3" t="s">
        <v>59</v>
      </c>
      <c r="C8" s="15" t="s">
        <v>61</v>
      </c>
      <c r="D8" s="16">
        <v>4</v>
      </c>
      <c r="E8" s="16">
        <f t="shared" si="0"/>
        <v>4</v>
      </c>
      <c r="G8" s="3" t="s">
        <v>66</v>
      </c>
      <c r="H8" s="3" t="s">
        <v>71</v>
      </c>
      <c r="I8" s="3" t="s">
        <v>72</v>
      </c>
    </row>
    <row r="9" spans="1:9" x14ac:dyDescent="0.3">
      <c r="A9" s="3" t="s">
        <v>64</v>
      </c>
      <c r="C9" s="3" t="s">
        <v>63</v>
      </c>
      <c r="D9" s="6">
        <v>3</v>
      </c>
      <c r="E9" s="6">
        <f t="shared" si="0"/>
        <v>3</v>
      </c>
      <c r="G9" s="3" t="s">
        <v>67</v>
      </c>
      <c r="H9" s="3" t="s">
        <v>68</v>
      </c>
      <c r="I9" s="3" t="s">
        <v>72</v>
      </c>
    </row>
    <row r="10" spans="1:9" x14ac:dyDescent="0.3">
      <c r="A10" s="3" t="s">
        <v>65</v>
      </c>
      <c r="C10" s="3" t="s">
        <v>65</v>
      </c>
      <c r="D10" s="6">
        <v>1</v>
      </c>
      <c r="E10" s="6">
        <f t="shared" si="0"/>
        <v>1</v>
      </c>
      <c r="G10" s="3" t="s">
        <v>69</v>
      </c>
      <c r="H10" s="3" t="s">
        <v>70</v>
      </c>
      <c r="I10" s="3" t="s">
        <v>73</v>
      </c>
    </row>
    <row r="11" spans="1:9" x14ac:dyDescent="0.3">
      <c r="A11" s="3" t="s">
        <v>60</v>
      </c>
      <c r="C11" s="3" t="s">
        <v>64</v>
      </c>
      <c r="D11" s="6">
        <v>1</v>
      </c>
      <c r="E11" s="6">
        <f t="shared" si="0"/>
        <v>1</v>
      </c>
      <c r="G11" s="3" t="s">
        <v>74</v>
      </c>
      <c r="H11" s="3" t="s">
        <v>75</v>
      </c>
      <c r="I11" s="3"/>
    </row>
    <row r="12" spans="1:9" x14ac:dyDescent="0.3">
      <c r="A12" s="3" t="s">
        <v>59</v>
      </c>
      <c r="C12" s="3" t="s">
        <v>62</v>
      </c>
      <c r="D12" s="6">
        <v>1</v>
      </c>
      <c r="E12" s="6">
        <f>COUNTIF(A:A,C12)</f>
        <v>1</v>
      </c>
    </row>
    <row r="13" spans="1:9" x14ac:dyDescent="0.3">
      <c r="A13" s="3" t="s">
        <v>61</v>
      </c>
    </row>
    <row r="14" spans="1:9" x14ac:dyDescent="0.3">
      <c r="A14" s="3" t="s">
        <v>63</v>
      </c>
      <c r="D14" t="s">
        <v>76</v>
      </c>
      <c r="E14" s="2">
        <f>MAX(E6:E12)</f>
        <v>4</v>
      </c>
      <c r="G14" t="s">
        <v>77</v>
      </c>
      <c r="H14" t="s">
        <v>79</v>
      </c>
    </row>
    <row r="15" spans="1:9" x14ac:dyDescent="0.3">
      <c r="A15" s="3" t="s">
        <v>61</v>
      </c>
      <c r="G15" t="s">
        <v>78</v>
      </c>
      <c r="H15" t="s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134A6-7012-4857-A127-517AD38D6D59}">
  <dimension ref="A1:F12"/>
  <sheetViews>
    <sheetView workbookViewId="0">
      <selection activeCell="F10" sqref="F10"/>
    </sheetView>
  </sheetViews>
  <sheetFormatPr baseColWidth="10" defaultRowHeight="14.4" x14ac:dyDescent="0.3"/>
  <cols>
    <col min="1" max="1" width="14.44140625" bestFit="1" customWidth="1"/>
    <col min="2" max="2" width="23.109375" bestFit="1" customWidth="1"/>
    <col min="3" max="3" width="75" bestFit="1" customWidth="1"/>
    <col min="4" max="4" width="28.33203125" bestFit="1" customWidth="1"/>
    <col min="5" max="5" width="64.77734375" bestFit="1" customWidth="1"/>
    <col min="7" max="7" width="12" customWidth="1"/>
  </cols>
  <sheetData>
    <row r="1" spans="1:6" ht="15.6" x14ac:dyDescent="0.3">
      <c r="A1" s="17" t="s">
        <v>81</v>
      </c>
      <c r="B1" s="17" t="s">
        <v>82</v>
      </c>
    </row>
    <row r="2" spans="1:6" x14ac:dyDescent="0.3">
      <c r="A2" s="3" t="s">
        <v>88</v>
      </c>
      <c r="B2" s="3">
        <v>4</v>
      </c>
    </row>
    <row r="3" spans="1:6" x14ac:dyDescent="0.3">
      <c r="A3" s="3" t="s">
        <v>83</v>
      </c>
      <c r="B3" s="3">
        <v>7</v>
      </c>
    </row>
    <row r="4" spans="1:6" x14ac:dyDescent="0.3">
      <c r="A4" s="18" t="s">
        <v>84</v>
      </c>
      <c r="B4" s="18">
        <v>15</v>
      </c>
    </row>
    <row r="5" spans="1:6" x14ac:dyDescent="0.3">
      <c r="A5" s="3" t="s">
        <v>85</v>
      </c>
      <c r="B5" s="3">
        <v>12</v>
      </c>
    </row>
    <row r="6" spans="1:6" x14ac:dyDescent="0.3">
      <c r="A6" s="18" t="s">
        <v>86</v>
      </c>
      <c r="B6" s="18">
        <v>15</v>
      </c>
    </row>
    <row r="7" spans="1:6" x14ac:dyDescent="0.3">
      <c r="A7" s="3" t="s">
        <v>87</v>
      </c>
      <c r="B7" s="3">
        <v>3</v>
      </c>
    </row>
    <row r="10" spans="1:6" x14ac:dyDescent="0.3">
      <c r="C10" s="3" t="s">
        <v>89</v>
      </c>
      <c r="D10" s="3">
        <f>MAX(B2:B7)</f>
        <v>15</v>
      </c>
      <c r="E10" s="3" cm="1">
        <f t="array" ref="E10">_xlfn.MODE.MULT(B2:B7)</f>
        <v>15</v>
      </c>
      <c r="F10" s="3" t="str" cm="1">
        <f t="array" ref="F10:F11">_xlfn._xlws.FILTER(A2:A7,B2:B7=D10)</f>
        <v>talla 38</v>
      </c>
    </row>
    <row r="11" spans="1:6" x14ac:dyDescent="0.3">
      <c r="C11" s="3" t="s">
        <v>90</v>
      </c>
      <c r="D11" s="3" t="s">
        <v>94</v>
      </c>
      <c r="E11" s="3" t="s">
        <v>93</v>
      </c>
      <c r="F11" t="str">
        <v>talla 40</v>
      </c>
    </row>
    <row r="12" spans="1:6" x14ac:dyDescent="0.3">
      <c r="C12" s="3" t="s">
        <v>91</v>
      </c>
      <c r="D12" s="3" t="s">
        <v>92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9F26F-7E72-476B-9EDA-07660E20620D}">
  <dimension ref="A1:H9"/>
  <sheetViews>
    <sheetView workbookViewId="0">
      <selection sqref="A1:A1048576"/>
    </sheetView>
  </sheetViews>
  <sheetFormatPr baseColWidth="10" defaultRowHeight="14.4" x14ac:dyDescent="0.3"/>
  <sheetData>
    <row r="1" spans="1:8" x14ac:dyDescent="0.3">
      <c r="A1">
        <v>120</v>
      </c>
    </row>
    <row r="2" spans="1:8" x14ac:dyDescent="0.3">
      <c r="A2">
        <v>135</v>
      </c>
    </row>
    <row r="3" spans="1:8" x14ac:dyDescent="0.3">
      <c r="A3">
        <v>145</v>
      </c>
    </row>
    <row r="4" spans="1:8" x14ac:dyDescent="0.3">
      <c r="A4">
        <v>150</v>
      </c>
    </row>
    <row r="5" spans="1:8" x14ac:dyDescent="0.3">
      <c r="A5">
        <v>155</v>
      </c>
      <c r="C5" t="s">
        <v>98</v>
      </c>
      <c r="D5">
        <v>155</v>
      </c>
    </row>
    <row r="6" spans="1:8" x14ac:dyDescent="0.3">
      <c r="A6">
        <v>175</v>
      </c>
      <c r="C6" t="s">
        <v>99</v>
      </c>
      <c r="D6">
        <v>145</v>
      </c>
    </row>
    <row r="7" spans="1:8" x14ac:dyDescent="0.3">
      <c r="A7">
        <v>180</v>
      </c>
      <c r="C7" t="s">
        <v>100</v>
      </c>
      <c r="D7">
        <v>180</v>
      </c>
    </row>
    <row r="8" spans="1:8" x14ac:dyDescent="0.3">
      <c r="A8">
        <v>185</v>
      </c>
      <c r="D8" s="2">
        <f>MEDIAN(A:A)</f>
        <v>155</v>
      </c>
      <c r="G8" t="s">
        <v>101</v>
      </c>
      <c r="H8">
        <f>_xlfn.PERCENTILE.INC(A:A,100%)</f>
        <v>190</v>
      </c>
    </row>
    <row r="9" spans="1:8" ht="16.8" customHeight="1" x14ac:dyDescent="0.3">
      <c r="A9">
        <v>190</v>
      </c>
    </row>
  </sheetData>
  <autoFilter ref="A1:A9" xr:uid="{27C9F26F-7E72-476B-9EDA-07660E20620D}"/>
  <sortState xmlns:xlrd2="http://schemas.microsoft.com/office/spreadsheetml/2017/richdata2" ref="A1:A9">
    <sortCondition ref="A1:A9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90AF-281A-4F11-8E98-7A6450219850}">
  <dimension ref="A1:H9"/>
  <sheetViews>
    <sheetView workbookViewId="0">
      <selection activeCell="C7" sqref="C7"/>
    </sheetView>
  </sheetViews>
  <sheetFormatPr baseColWidth="10" defaultRowHeight="14.4" x14ac:dyDescent="0.3"/>
  <cols>
    <col min="3" max="3" width="13.21875" bestFit="1" customWidth="1"/>
  </cols>
  <sheetData>
    <row r="1" spans="1:8" x14ac:dyDescent="0.3">
      <c r="A1">
        <v>120</v>
      </c>
      <c r="C1" s="3" t="s">
        <v>110</v>
      </c>
      <c r="D1" s="13">
        <v>0</v>
      </c>
      <c r="E1" s="3" t="s">
        <v>111</v>
      </c>
      <c r="F1" s="3">
        <f>_xlfn.QUARTILE.INC(A:A,0)</f>
        <v>120</v>
      </c>
      <c r="G1" s="3"/>
      <c r="H1" s="3" t="e">
        <f>_xlfn.QUARTILE.EXC(A:A,0)</f>
        <v>#NUM!</v>
      </c>
    </row>
    <row r="2" spans="1:8" x14ac:dyDescent="0.3">
      <c r="A2">
        <v>135</v>
      </c>
      <c r="C2" s="3" t="s">
        <v>102</v>
      </c>
      <c r="D2" s="13">
        <v>0.25</v>
      </c>
      <c r="E2" s="3" t="s">
        <v>103</v>
      </c>
      <c r="F2" s="3">
        <f>_xlfn.QUARTILE.INC(A:A,1)</f>
        <v>145</v>
      </c>
      <c r="G2" s="3"/>
      <c r="H2" s="3">
        <f>_xlfn.QUARTILE.EXC(A:A,1)</f>
        <v>140</v>
      </c>
    </row>
    <row r="3" spans="1:8" x14ac:dyDescent="0.3">
      <c r="A3">
        <v>145</v>
      </c>
      <c r="C3" s="3" t="s">
        <v>104</v>
      </c>
      <c r="D3" s="13">
        <v>0.5</v>
      </c>
      <c r="E3" s="3" t="s">
        <v>105</v>
      </c>
      <c r="F3" s="3">
        <f>_xlfn.QUARTILE.INC(A:A,2)</f>
        <v>155</v>
      </c>
      <c r="G3" s="3"/>
      <c r="H3" s="3">
        <f>_xlfn.QUARTILE.EXC(A:A,2)</f>
        <v>155</v>
      </c>
    </row>
    <row r="4" spans="1:8" x14ac:dyDescent="0.3">
      <c r="A4">
        <v>150</v>
      </c>
      <c r="C4" s="3" t="s">
        <v>106</v>
      </c>
      <c r="D4" s="13">
        <v>0.75</v>
      </c>
      <c r="E4" s="3" t="s">
        <v>107</v>
      </c>
      <c r="F4" s="3">
        <f>_xlfn.QUARTILE.INC(A:A,3)</f>
        <v>180</v>
      </c>
      <c r="G4" s="3"/>
      <c r="H4" s="3">
        <f>_xlfn.QUARTILE.EXC(A:A,3)</f>
        <v>182.5</v>
      </c>
    </row>
    <row r="5" spans="1:8" x14ac:dyDescent="0.3">
      <c r="A5">
        <v>155</v>
      </c>
      <c r="C5" s="3" t="s">
        <v>108</v>
      </c>
      <c r="D5" s="13">
        <v>1</v>
      </c>
      <c r="E5" s="3" t="s">
        <v>109</v>
      </c>
      <c r="F5" s="3">
        <f>_xlfn.QUARTILE.INC(A:A,4)</f>
        <v>190</v>
      </c>
      <c r="G5" s="3"/>
      <c r="H5" s="3" t="e">
        <f>_xlfn.QUARTILE.EXC(A:A,4)</f>
        <v>#NUM!</v>
      </c>
    </row>
    <row r="6" spans="1:8" x14ac:dyDescent="0.3">
      <c r="A6">
        <v>175</v>
      </c>
    </row>
    <row r="7" spans="1:8" x14ac:dyDescent="0.3">
      <c r="A7">
        <v>180</v>
      </c>
    </row>
    <row r="8" spans="1:8" x14ac:dyDescent="0.3">
      <c r="A8">
        <v>185</v>
      </c>
    </row>
    <row r="9" spans="1:8" x14ac:dyDescent="0.3">
      <c r="A9">
        <v>190</v>
      </c>
    </row>
  </sheetData>
  <autoFilter ref="A1:A9" xr:uid="{8E0190AF-281A-4F11-8E98-7A6450219850}"/>
  <sortState xmlns:xlrd2="http://schemas.microsoft.com/office/spreadsheetml/2017/richdata2" ref="A1:A9">
    <sortCondition ref="A1:A9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4C43-3317-4E55-AAA5-43B894288BF5}">
  <dimension ref="A1:F14"/>
  <sheetViews>
    <sheetView workbookViewId="0">
      <selection activeCell="D15" sqref="D15"/>
    </sheetView>
  </sheetViews>
  <sheetFormatPr baseColWidth="10" defaultRowHeight="14.4" x14ac:dyDescent="0.3"/>
  <cols>
    <col min="6" max="6" width="14" bestFit="1" customWidth="1"/>
  </cols>
  <sheetData>
    <row r="1" spans="1:6" x14ac:dyDescent="0.3">
      <c r="A1" s="3" t="s">
        <v>112</v>
      </c>
      <c r="B1" s="3">
        <v>0.7</v>
      </c>
    </row>
    <row r="2" spans="1:6" x14ac:dyDescent="0.3">
      <c r="A2" s="3" t="s">
        <v>113</v>
      </c>
      <c r="B2" s="3">
        <v>2.4</v>
      </c>
    </row>
    <row r="3" spans="1:6" x14ac:dyDescent="0.3">
      <c r="A3" s="3" t="s">
        <v>114</v>
      </c>
      <c r="B3" s="3">
        <v>3.5</v>
      </c>
    </row>
    <row r="4" spans="1:6" x14ac:dyDescent="0.3">
      <c r="A4" s="3" t="s">
        <v>115</v>
      </c>
      <c r="B4" s="3">
        <v>8.9</v>
      </c>
    </row>
    <row r="5" spans="1:6" x14ac:dyDescent="0.3">
      <c r="A5" s="3" t="s">
        <v>116</v>
      </c>
      <c r="B5" s="3">
        <v>1</v>
      </c>
    </row>
    <row r="6" spans="1:6" x14ac:dyDescent="0.3">
      <c r="A6" s="3" t="s">
        <v>117</v>
      </c>
      <c r="B6" s="3">
        <v>1</v>
      </c>
    </row>
    <row r="7" spans="1:6" x14ac:dyDescent="0.3">
      <c r="A7" s="3" t="s">
        <v>118</v>
      </c>
      <c r="B7" s="3">
        <v>5.3</v>
      </c>
    </row>
    <row r="8" spans="1:6" x14ac:dyDescent="0.3">
      <c r="A8" s="3" t="s">
        <v>119</v>
      </c>
      <c r="B8" s="3">
        <v>1.25</v>
      </c>
      <c r="D8" s="3" t="str" cm="1">
        <f t="array" ref="D8">_xlfn._xlws.FILTER(A:A,B:B=E8)</f>
        <v>pescado</v>
      </c>
      <c r="E8" s="6">
        <f>MAX(B:B)</f>
        <v>35</v>
      </c>
      <c r="F8" s="3" t="s">
        <v>76</v>
      </c>
    </row>
    <row r="9" spans="1:6" x14ac:dyDescent="0.3">
      <c r="A9" s="3" t="s">
        <v>120</v>
      </c>
      <c r="B9" s="3">
        <v>35</v>
      </c>
      <c r="D9" s="3" t="str" cm="1">
        <f t="array" ref="D9">_xlfn._xlws.FILTER(A:A,B:B=E9)</f>
        <v>pan</v>
      </c>
      <c r="E9" s="6">
        <f>MIN(B:B)</f>
        <v>0.7</v>
      </c>
      <c r="F9" s="3" t="s">
        <v>121</v>
      </c>
    </row>
    <row r="10" spans="1:6" x14ac:dyDescent="0.3">
      <c r="B10" s="20"/>
      <c r="C10" s="20"/>
    </row>
    <row r="14" spans="1:6" x14ac:dyDescent="0.3">
      <c r="D14" t="s">
        <v>122</v>
      </c>
      <c r="E14" s="2">
        <f>E8-E9</f>
        <v>34.299999999999997</v>
      </c>
      <c r="F14" t="s">
        <v>123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8E13-3BB6-4A57-A084-CA0EC1EDEADD}">
  <dimension ref="A1:C11"/>
  <sheetViews>
    <sheetView tabSelected="1" workbookViewId="0">
      <selection activeCell="C8" sqref="C8"/>
    </sheetView>
  </sheetViews>
  <sheetFormatPr baseColWidth="10" defaultRowHeight="14.4" x14ac:dyDescent="0.3"/>
  <cols>
    <col min="1" max="1" width="25.109375" bestFit="1" customWidth="1"/>
  </cols>
  <sheetData>
    <row r="1" spans="1:3" x14ac:dyDescent="0.3">
      <c r="A1" s="3" t="s">
        <v>127</v>
      </c>
      <c r="B1" s="3" t="s">
        <v>128</v>
      </c>
    </row>
    <row r="2" spans="1:3" x14ac:dyDescent="0.3">
      <c r="A2" s="3" t="s">
        <v>124</v>
      </c>
      <c r="B2" s="3">
        <v>15</v>
      </c>
    </row>
    <row r="3" spans="1:3" x14ac:dyDescent="0.3">
      <c r="A3" s="3" t="s">
        <v>125</v>
      </c>
      <c r="B3" s="3">
        <v>45</v>
      </c>
    </row>
    <row r="4" spans="1:3" x14ac:dyDescent="0.3">
      <c r="A4" s="3" t="s">
        <v>126</v>
      </c>
      <c r="B4" s="3">
        <v>10</v>
      </c>
    </row>
    <row r="6" spans="1:3" x14ac:dyDescent="0.3">
      <c r="A6" s="3" t="s">
        <v>129</v>
      </c>
      <c r="B6" s="6">
        <f>SUM(B2:B4)</f>
        <v>70</v>
      </c>
    </row>
    <row r="8" spans="1:3" x14ac:dyDescent="0.3">
      <c r="A8" s="3" t="s">
        <v>130</v>
      </c>
      <c r="B8" s="7">
        <f>B2/B6</f>
        <v>0.21428571428571427</v>
      </c>
      <c r="C8">
        <f>B2/B6</f>
        <v>0.21428571428571427</v>
      </c>
    </row>
    <row r="9" spans="1:3" x14ac:dyDescent="0.3">
      <c r="A9" s="21" t="s">
        <v>131</v>
      </c>
      <c r="B9" s="7">
        <f>B3/B6</f>
        <v>0.6428571428571429</v>
      </c>
      <c r="C9" t="e">
        <f t="shared" ref="C9:C10" si="0">B3/B7</f>
        <v>#DIV/0!</v>
      </c>
    </row>
    <row r="10" spans="1:3" x14ac:dyDescent="0.3">
      <c r="A10" s="21" t="s">
        <v>132</v>
      </c>
      <c r="B10" s="7">
        <f>B4/B6</f>
        <v>0.14285714285714285</v>
      </c>
      <c r="C10">
        <f t="shared" si="0"/>
        <v>46.666666666666671</v>
      </c>
    </row>
    <row r="11" spans="1:3" x14ac:dyDescent="0.3">
      <c r="B11" s="22">
        <f>SUM(B8:B10)</f>
        <v>1</v>
      </c>
      <c r="C11" t="e">
        <f>SUM(C8:C10)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practicas</vt:lpstr>
      <vt:lpstr>media</vt:lpstr>
      <vt:lpstr>mediana</vt:lpstr>
      <vt:lpstr>ejemplo3</vt:lpstr>
      <vt:lpstr>ejemplo4_tabla_sueldos</vt:lpstr>
      <vt:lpstr>ejemplo4_tabla_totales</vt:lpstr>
      <vt:lpstr>ejemplo4_tabla_pagas</vt:lpstr>
      <vt:lpstr>moda</vt:lpstr>
      <vt:lpstr>ejemplo5</vt:lpstr>
      <vt:lpstr>percentiles</vt:lpstr>
      <vt:lpstr>cuartiles</vt:lpstr>
      <vt:lpstr>rango</vt:lpstr>
      <vt:lpstr>probabilidad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XTALENTO 101</dc:creator>
  <cp:lastModifiedBy>XTALENTO 101</cp:lastModifiedBy>
  <dcterms:created xsi:type="dcterms:W3CDTF">2026-03-03T10:39:02Z</dcterms:created>
  <dcterms:modified xsi:type="dcterms:W3CDTF">2026-03-06T12:42:05Z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2026-03-03T10:40:20Z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001b2a6a-2ad7-4b95-a1de-74993a615e4c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